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w\Desktop\"/>
    </mc:Choice>
  </mc:AlternateContent>
  <xr:revisionPtr revIDLastSave="0" documentId="13_ncr:1_{7C70845D-CE4B-4EA4-BBF2-E7A2EE0F37BB}" xr6:coauthVersionLast="47" xr6:coauthVersionMax="47" xr10:uidLastSave="{00000000-0000-0000-0000-000000000000}"/>
  <bookViews>
    <workbookView xWindow="28680" yWindow="-120" windowWidth="29040" windowHeight="15840" activeTab="1" xr2:uid="{59BAF1D0-473E-429C-9330-D76CA5351B6A}"/>
  </bookViews>
  <sheets>
    <sheet name="Logic" sheetId="1" r:id="rId1"/>
    <sheet name="Interface" sheetId="4" r:id="rId2"/>
  </sheets>
  <definedNames>
    <definedName name="_xlpm.array" hidden="1" xlm="1">#NAME?</definedName>
    <definedName name="_xlpm.bkw" hidden="1" xlm="1">#NAME?</definedName>
    <definedName name="_xlpm.fwd" hidden="1" xlm="1">#NAME?</definedName>
    <definedName name="_xlpm.group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4" l="1"/>
  <c r="H12" i="4"/>
  <c r="H11" i="4"/>
  <c r="H10" i="4"/>
  <c r="H9" i="4"/>
  <c r="H8" i="4"/>
  <c r="H7" i="4"/>
  <c r="H6" i="4"/>
  <c r="H5" i="4"/>
  <c r="H4" i="4"/>
  <c r="H15" i="4" s="1"/>
  <c r="A5" i="1"/>
  <c r="A6" i="1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4" i="1"/>
  <c r="BD33" i="1"/>
  <c r="BD32" i="1"/>
  <c r="BD31" i="1"/>
  <c r="BD30" i="1"/>
  <c r="BD29" i="1"/>
  <c r="BD28" i="1"/>
  <c r="BD27" i="1"/>
  <c r="BD26" i="1"/>
  <c r="BD25" i="1"/>
  <c r="BD24" i="1"/>
  <c r="BB33" i="1"/>
  <c r="BB32" i="1"/>
  <c r="BB31" i="1"/>
  <c r="BB30" i="1"/>
  <c r="BB29" i="1"/>
  <c r="BB28" i="1"/>
  <c r="BB27" i="1"/>
  <c r="BB26" i="1"/>
  <c r="BB25" i="1"/>
  <c r="BB24" i="1"/>
  <c r="AZ33" i="1"/>
  <c r="AZ32" i="1"/>
  <c r="AZ31" i="1"/>
  <c r="AZ30" i="1"/>
  <c r="AZ29" i="1"/>
  <c r="AZ28" i="1"/>
  <c r="AZ27" i="1"/>
  <c r="AZ26" i="1"/>
  <c r="AZ25" i="1"/>
  <c r="AZ24" i="1"/>
  <c r="AX33" i="1"/>
  <c r="AX32" i="1"/>
  <c r="AX31" i="1"/>
  <c r="AX30" i="1"/>
  <c r="AX29" i="1"/>
  <c r="AX28" i="1"/>
  <c r="AX27" i="1"/>
  <c r="AX26" i="1"/>
  <c r="AX25" i="1"/>
  <c r="AX24" i="1"/>
  <c r="AV33" i="1"/>
  <c r="AV32" i="1"/>
  <c r="AV31" i="1"/>
  <c r="AV30" i="1"/>
  <c r="AV29" i="1"/>
  <c r="AV28" i="1"/>
  <c r="AV27" i="1"/>
  <c r="AV26" i="1"/>
  <c r="AV25" i="1"/>
  <c r="AV24" i="1"/>
  <c r="AT33" i="1"/>
  <c r="AT32" i="1"/>
  <c r="AT31" i="1"/>
  <c r="AT30" i="1"/>
  <c r="AT29" i="1"/>
  <c r="AT28" i="1"/>
  <c r="AT27" i="1"/>
  <c r="AT26" i="1"/>
  <c r="AT25" i="1"/>
  <c r="AT24" i="1"/>
  <c r="AR33" i="1"/>
  <c r="AR32" i="1"/>
  <c r="AR31" i="1"/>
  <c r="AR30" i="1"/>
  <c r="AR29" i="1"/>
  <c r="AR28" i="1"/>
  <c r="AR27" i="1"/>
  <c r="AR26" i="1"/>
  <c r="AR25" i="1"/>
  <c r="AR24" i="1"/>
  <c r="AP33" i="1"/>
  <c r="AP32" i="1"/>
  <c r="AP31" i="1"/>
  <c r="AP30" i="1"/>
  <c r="AP29" i="1"/>
  <c r="AP28" i="1"/>
  <c r="AP27" i="1"/>
  <c r="AP26" i="1"/>
  <c r="AP25" i="1"/>
  <c r="AP24" i="1"/>
  <c r="AN33" i="1"/>
  <c r="AN32" i="1"/>
  <c r="AN31" i="1"/>
  <c r="AN30" i="1"/>
  <c r="AN29" i="1"/>
  <c r="AN28" i="1"/>
  <c r="AN27" i="1"/>
  <c r="AN26" i="1"/>
  <c r="AN25" i="1"/>
  <c r="AN24" i="1"/>
  <c r="AL33" i="1"/>
  <c r="AL32" i="1"/>
  <c r="AL31" i="1"/>
  <c r="AL30" i="1"/>
  <c r="AL29" i="1"/>
  <c r="AL28" i="1"/>
  <c r="AL27" i="1"/>
  <c r="AL26" i="1"/>
  <c r="AL25" i="1"/>
  <c r="AL24" i="1"/>
  <c r="AJ33" i="1"/>
  <c r="AJ32" i="1"/>
  <c r="AJ31" i="1"/>
  <c r="AJ30" i="1"/>
  <c r="AJ29" i="1"/>
  <c r="AJ28" i="1"/>
  <c r="AJ27" i="1"/>
  <c r="AJ26" i="1"/>
  <c r="AJ25" i="1"/>
  <c r="AJ24" i="1"/>
  <c r="AH33" i="1"/>
  <c r="AH32" i="1"/>
  <c r="AH31" i="1"/>
  <c r="AH30" i="1"/>
  <c r="AH29" i="1"/>
  <c r="AH28" i="1"/>
  <c r="AH27" i="1"/>
  <c r="AH26" i="1"/>
  <c r="AH25" i="1"/>
  <c r="AH24" i="1"/>
  <c r="AF33" i="1"/>
  <c r="AF32" i="1"/>
  <c r="AF31" i="1"/>
  <c r="AF30" i="1"/>
  <c r="AF29" i="1"/>
  <c r="AF28" i="1"/>
  <c r="AF27" i="1"/>
  <c r="AF26" i="1"/>
  <c r="AF25" i="1"/>
  <c r="AF24" i="1"/>
  <c r="AD33" i="1"/>
  <c r="AD32" i="1"/>
  <c r="AD31" i="1"/>
  <c r="AD30" i="1"/>
  <c r="AD29" i="1"/>
  <c r="AD28" i="1"/>
  <c r="AD27" i="1"/>
  <c r="AD26" i="1"/>
  <c r="AD25" i="1"/>
  <c r="AD24" i="1"/>
  <c r="AB33" i="1"/>
  <c r="AB32" i="1"/>
  <c r="AB31" i="1"/>
  <c r="AB30" i="1"/>
  <c r="AB29" i="1"/>
  <c r="AB28" i="1"/>
  <c r="AB27" i="1"/>
  <c r="AB26" i="1"/>
  <c r="AB25" i="1"/>
  <c r="AB24" i="1"/>
  <c r="Z25" i="1"/>
  <c r="Z26" i="1"/>
  <c r="Z27" i="1"/>
  <c r="Z28" i="1"/>
  <c r="Z29" i="1"/>
  <c r="Z30" i="1"/>
  <c r="Z31" i="1"/>
  <c r="Z32" i="1"/>
  <c r="Z33" i="1"/>
  <c r="Z24" i="1"/>
  <c r="BD19" i="1"/>
  <c r="BD18" i="1"/>
  <c r="BD17" i="1"/>
  <c r="BD16" i="1"/>
  <c r="BD15" i="1"/>
  <c r="BD14" i="1"/>
  <c r="BD13" i="1"/>
  <c r="BD12" i="1"/>
  <c r="BD11" i="1"/>
  <c r="BB19" i="1"/>
  <c r="BB18" i="1"/>
  <c r="BB17" i="1"/>
  <c r="BB16" i="1"/>
  <c r="BB15" i="1"/>
  <c r="BB14" i="1"/>
  <c r="BB13" i="1"/>
  <c r="BB12" i="1"/>
  <c r="BB11" i="1"/>
  <c r="AZ19" i="1"/>
  <c r="AZ18" i="1"/>
  <c r="AZ17" i="1"/>
  <c r="AZ16" i="1"/>
  <c r="AZ15" i="1"/>
  <c r="AZ14" i="1"/>
  <c r="AZ13" i="1"/>
  <c r="AZ12" i="1"/>
  <c r="AZ11" i="1"/>
  <c r="AX19" i="1"/>
  <c r="AX18" i="1"/>
  <c r="AX17" i="1"/>
  <c r="AX16" i="1"/>
  <c r="AX15" i="1"/>
  <c r="AX14" i="1"/>
  <c r="AX13" i="1"/>
  <c r="AX12" i="1"/>
  <c r="AX11" i="1"/>
  <c r="AV19" i="1"/>
  <c r="AV18" i="1"/>
  <c r="AV17" i="1"/>
  <c r="AV16" i="1"/>
  <c r="AV15" i="1"/>
  <c r="AV14" i="1"/>
  <c r="AV13" i="1"/>
  <c r="AV12" i="1"/>
  <c r="AV11" i="1"/>
  <c r="AT19" i="1"/>
  <c r="AT18" i="1"/>
  <c r="AT17" i="1"/>
  <c r="AT16" i="1"/>
  <c r="AT15" i="1"/>
  <c r="AT14" i="1"/>
  <c r="AT13" i="1"/>
  <c r="AT12" i="1"/>
  <c r="AT11" i="1"/>
  <c r="AR19" i="1"/>
  <c r="AR18" i="1"/>
  <c r="AR17" i="1"/>
  <c r="AR16" i="1"/>
  <c r="AR15" i="1"/>
  <c r="AR14" i="1"/>
  <c r="AR13" i="1"/>
  <c r="AR12" i="1"/>
  <c r="AR11" i="1"/>
  <c r="AP19" i="1"/>
  <c r="AP18" i="1"/>
  <c r="AP17" i="1"/>
  <c r="AP16" i="1"/>
  <c r="AP15" i="1"/>
  <c r="AP14" i="1"/>
  <c r="AP13" i="1"/>
  <c r="AP12" i="1"/>
  <c r="AP11" i="1"/>
  <c r="C5" i="4"/>
  <c r="B3" i="1" a="1"/>
  <c r="B3" i="1" s="1"/>
  <c r="D5" i="4" l="1"/>
  <c r="Z4" i="1"/>
  <c r="Z3" i="1"/>
  <c r="AC3" i="1" s="1"/>
  <c r="W68" i="1" a="1"/>
  <c r="W68" i="1" s="1"/>
  <c r="W67" i="1" a="1"/>
  <c r="W67" i="1" s="1"/>
  <c r="R92" i="1" l="1"/>
  <c r="N94" i="1"/>
  <c r="R95" i="1"/>
  <c r="N97" i="1"/>
  <c r="R98" i="1"/>
  <c r="N100" i="1"/>
  <c r="R101" i="1"/>
  <c r="N103" i="1"/>
  <c r="R104" i="1"/>
  <c r="N106" i="1"/>
  <c r="R107" i="1"/>
  <c r="N109" i="1"/>
  <c r="R110" i="1"/>
  <c r="N112" i="1"/>
  <c r="R113" i="1"/>
  <c r="N115" i="1"/>
  <c r="R116" i="1"/>
  <c r="N118" i="1"/>
  <c r="R119" i="1"/>
  <c r="N121" i="1"/>
  <c r="R122" i="1"/>
  <c r="N124" i="1"/>
  <c r="R125" i="1"/>
  <c r="N127" i="1"/>
  <c r="R128" i="1"/>
  <c r="N130" i="1"/>
  <c r="R131" i="1"/>
  <c r="N133" i="1"/>
  <c r="R134" i="1"/>
  <c r="N136" i="1"/>
  <c r="R137" i="1"/>
  <c r="N139" i="1"/>
  <c r="R140" i="1"/>
  <c r="N142" i="1"/>
  <c r="R143" i="1"/>
  <c r="N145" i="1"/>
  <c r="R146" i="1"/>
  <c r="N148" i="1"/>
  <c r="R149" i="1"/>
  <c r="N151" i="1"/>
  <c r="R152" i="1"/>
  <c r="N154" i="1"/>
  <c r="R155" i="1"/>
  <c r="N157" i="1"/>
  <c r="R158" i="1"/>
  <c r="N160" i="1"/>
  <c r="R161" i="1"/>
  <c r="N163" i="1"/>
  <c r="R164" i="1"/>
  <c r="N166" i="1"/>
  <c r="R167" i="1"/>
  <c r="N169" i="1"/>
  <c r="R170" i="1"/>
  <c r="N172" i="1"/>
  <c r="R173" i="1"/>
  <c r="N175" i="1"/>
  <c r="R176" i="1"/>
  <c r="N178" i="1"/>
  <c r="R179" i="1"/>
  <c r="N181" i="1"/>
  <c r="R182" i="1"/>
  <c r="N184" i="1"/>
  <c r="R185" i="1"/>
  <c r="N187" i="1"/>
  <c r="R188" i="1"/>
  <c r="N190" i="1"/>
  <c r="R191" i="1"/>
  <c r="N193" i="1"/>
  <c r="R194" i="1"/>
  <c r="N196" i="1"/>
  <c r="R197" i="1"/>
  <c r="N199" i="1"/>
  <c r="R200" i="1"/>
  <c r="N202" i="1"/>
  <c r="R203" i="1"/>
  <c r="N205" i="1"/>
  <c r="R206" i="1"/>
  <c r="N208" i="1"/>
  <c r="R209" i="1"/>
  <c r="N211" i="1"/>
  <c r="R212" i="1"/>
  <c r="N214" i="1"/>
  <c r="R215" i="1"/>
  <c r="N217" i="1"/>
  <c r="R218" i="1"/>
  <c r="S92" i="1"/>
  <c r="O94" i="1"/>
  <c r="S95" i="1"/>
  <c r="O97" i="1"/>
  <c r="S98" i="1"/>
  <c r="O100" i="1"/>
  <c r="S101" i="1"/>
  <c r="O103" i="1"/>
  <c r="S104" i="1"/>
  <c r="O106" i="1"/>
  <c r="S107" i="1"/>
  <c r="O109" i="1"/>
  <c r="S110" i="1"/>
  <c r="O112" i="1"/>
  <c r="S113" i="1"/>
  <c r="O115" i="1"/>
  <c r="S116" i="1"/>
  <c r="O118" i="1"/>
  <c r="S119" i="1"/>
  <c r="O121" i="1"/>
  <c r="S122" i="1"/>
  <c r="O124" i="1"/>
  <c r="S125" i="1"/>
  <c r="O127" i="1"/>
  <c r="S128" i="1"/>
  <c r="O130" i="1"/>
  <c r="S131" i="1"/>
  <c r="O133" i="1"/>
  <c r="S134" i="1"/>
  <c r="O136" i="1"/>
  <c r="S137" i="1"/>
  <c r="O139" i="1"/>
  <c r="S140" i="1"/>
  <c r="T92" i="1"/>
  <c r="P94" i="1"/>
  <c r="T95" i="1"/>
  <c r="P97" i="1"/>
  <c r="T98" i="1"/>
  <c r="P100" i="1"/>
  <c r="T101" i="1"/>
  <c r="P103" i="1"/>
  <c r="T104" i="1"/>
  <c r="P106" i="1"/>
  <c r="T107" i="1"/>
  <c r="P109" i="1"/>
  <c r="T110" i="1"/>
  <c r="P112" i="1"/>
  <c r="T113" i="1"/>
  <c r="P115" i="1"/>
  <c r="T116" i="1"/>
  <c r="P118" i="1"/>
  <c r="T119" i="1"/>
  <c r="P121" i="1"/>
  <c r="T122" i="1"/>
  <c r="P124" i="1"/>
  <c r="T125" i="1"/>
  <c r="P127" i="1"/>
  <c r="T128" i="1"/>
  <c r="P130" i="1"/>
  <c r="T131" i="1"/>
  <c r="P133" i="1"/>
  <c r="T134" i="1"/>
  <c r="P136" i="1"/>
  <c r="T137" i="1"/>
  <c r="P139" i="1"/>
  <c r="T140" i="1"/>
  <c r="M93" i="1"/>
  <c r="O93" i="1"/>
  <c r="S94" i="1"/>
  <c r="O96" i="1"/>
  <c r="S97" i="1"/>
  <c r="O99" i="1"/>
  <c r="S100" i="1"/>
  <c r="O102" i="1"/>
  <c r="S103" i="1"/>
  <c r="O105" i="1"/>
  <c r="S106" i="1"/>
  <c r="O108" i="1"/>
  <c r="S109" i="1"/>
  <c r="O111" i="1"/>
  <c r="S112" i="1"/>
  <c r="O114" i="1"/>
  <c r="S115" i="1"/>
  <c r="O117" i="1"/>
  <c r="S118" i="1"/>
  <c r="O120" i="1"/>
  <c r="S121" i="1"/>
  <c r="O123" i="1"/>
  <c r="S124" i="1"/>
  <c r="O126" i="1"/>
  <c r="S127" i="1"/>
  <c r="O129" i="1"/>
  <c r="S130" i="1"/>
  <c r="O132" i="1"/>
  <c r="S133" i="1"/>
  <c r="O135" i="1"/>
  <c r="S136" i="1"/>
  <c r="O138" i="1"/>
  <c r="S139" i="1"/>
  <c r="O141" i="1"/>
  <c r="S142" i="1"/>
  <c r="O144" i="1"/>
  <c r="S145" i="1"/>
  <c r="O147" i="1"/>
  <c r="S148" i="1"/>
  <c r="O150" i="1"/>
  <c r="S151" i="1"/>
  <c r="O153" i="1"/>
  <c r="S154" i="1"/>
  <c r="O156" i="1"/>
  <c r="S157" i="1"/>
  <c r="O159" i="1"/>
  <c r="S160" i="1"/>
  <c r="O162" i="1"/>
  <c r="S163" i="1"/>
  <c r="O165" i="1"/>
  <c r="S166" i="1"/>
  <c r="O168" i="1"/>
  <c r="S169" i="1"/>
  <c r="O171" i="1"/>
  <c r="S172" i="1"/>
  <c r="O174" i="1"/>
  <c r="S175" i="1"/>
  <c r="O177" i="1"/>
  <c r="S178" i="1"/>
  <c r="O180" i="1"/>
  <c r="S181" i="1"/>
  <c r="O92" i="1"/>
  <c r="S93" i="1"/>
  <c r="O95" i="1"/>
  <c r="S96" i="1"/>
  <c r="O98" i="1"/>
  <c r="S99" i="1"/>
  <c r="O101" i="1"/>
  <c r="S102" i="1"/>
  <c r="O104" i="1"/>
  <c r="S105" i="1"/>
  <c r="O107" i="1"/>
  <c r="S108" i="1"/>
  <c r="O110" i="1"/>
  <c r="S111" i="1"/>
  <c r="O113" i="1"/>
  <c r="S114" i="1"/>
  <c r="O116" i="1"/>
  <c r="S117" i="1"/>
  <c r="O119" i="1"/>
  <c r="S120" i="1"/>
  <c r="O122" i="1"/>
  <c r="S123" i="1"/>
  <c r="O125" i="1"/>
  <c r="S126" i="1"/>
  <c r="O128" i="1"/>
  <c r="S129" i="1"/>
  <c r="O131" i="1"/>
  <c r="S132" i="1"/>
  <c r="O134" i="1"/>
  <c r="S135" i="1"/>
  <c r="O137" i="1"/>
  <c r="S138" i="1"/>
  <c r="O140" i="1"/>
  <c r="S141" i="1"/>
  <c r="O143" i="1"/>
  <c r="S144" i="1"/>
  <c r="O146" i="1"/>
  <c r="S147" i="1"/>
  <c r="O149" i="1"/>
  <c r="S150" i="1"/>
  <c r="O152" i="1"/>
  <c r="S153" i="1"/>
  <c r="O155" i="1"/>
  <c r="S156" i="1"/>
  <c r="O158" i="1"/>
  <c r="S159" i="1"/>
  <c r="O161" i="1"/>
  <c r="S162" i="1"/>
  <c r="O164" i="1"/>
  <c r="S165" i="1"/>
  <c r="O167" i="1"/>
  <c r="S168" i="1"/>
  <c r="O170" i="1"/>
  <c r="S171" i="1"/>
  <c r="O173" i="1"/>
  <c r="S174" i="1"/>
  <c r="O176" i="1"/>
  <c r="S177" i="1"/>
  <c r="O179" i="1"/>
  <c r="S180" i="1"/>
  <c r="P92" i="1"/>
  <c r="T93" i="1"/>
  <c r="P95" i="1"/>
  <c r="T96" i="1"/>
  <c r="P98" i="1"/>
  <c r="T99" i="1"/>
  <c r="P101" i="1"/>
  <c r="T102" i="1"/>
  <c r="P104" i="1"/>
  <c r="T105" i="1"/>
  <c r="P107" i="1"/>
  <c r="T108" i="1"/>
  <c r="P110" i="1"/>
  <c r="T111" i="1"/>
  <c r="P113" i="1"/>
  <c r="T114" i="1"/>
  <c r="P116" i="1"/>
  <c r="T117" i="1"/>
  <c r="P119" i="1"/>
  <c r="T120" i="1"/>
  <c r="P122" i="1"/>
  <c r="T123" i="1"/>
  <c r="P125" i="1"/>
  <c r="T126" i="1"/>
  <c r="P128" i="1"/>
  <c r="T129" i="1"/>
  <c r="P131" i="1"/>
  <c r="T132" i="1"/>
  <c r="P134" i="1"/>
  <c r="T135" i="1"/>
  <c r="P137" i="1"/>
  <c r="T138" i="1"/>
  <c r="P140" i="1"/>
  <c r="T141" i="1"/>
  <c r="P143" i="1"/>
  <c r="T144" i="1"/>
  <c r="P146" i="1"/>
  <c r="T147" i="1"/>
  <c r="P149" i="1"/>
  <c r="T150" i="1"/>
  <c r="P152" i="1"/>
  <c r="T153" i="1"/>
  <c r="P155" i="1"/>
  <c r="T156" i="1"/>
  <c r="P158" i="1"/>
  <c r="T159" i="1"/>
  <c r="P161" i="1"/>
  <c r="T162" i="1"/>
  <c r="P164" i="1"/>
  <c r="T165" i="1"/>
  <c r="P167" i="1"/>
  <c r="T168" i="1"/>
  <c r="P170" i="1"/>
  <c r="T171" i="1"/>
  <c r="P173" i="1"/>
  <c r="T174" i="1"/>
  <c r="P176" i="1"/>
  <c r="T177" i="1"/>
  <c r="Q92" i="1"/>
  <c r="M94" i="1"/>
  <c r="Q95" i="1"/>
  <c r="M97" i="1"/>
  <c r="Q98" i="1"/>
  <c r="M100" i="1"/>
  <c r="Q101" i="1"/>
  <c r="M103" i="1"/>
  <c r="Q104" i="1"/>
  <c r="M106" i="1"/>
  <c r="Q107" i="1"/>
  <c r="M109" i="1"/>
  <c r="Q110" i="1"/>
  <c r="M112" i="1"/>
  <c r="Q113" i="1"/>
  <c r="M115" i="1"/>
  <c r="Q116" i="1"/>
  <c r="M118" i="1"/>
  <c r="Q119" i="1"/>
  <c r="M121" i="1"/>
  <c r="Q122" i="1"/>
  <c r="M124" i="1"/>
  <c r="Q125" i="1"/>
  <c r="M127" i="1"/>
  <c r="Q128" i="1"/>
  <c r="M130" i="1"/>
  <c r="Q131" i="1"/>
  <c r="M133" i="1"/>
  <c r="Q134" i="1"/>
  <c r="M136" i="1"/>
  <c r="Q137" i="1"/>
  <c r="M139" i="1"/>
  <c r="Q140" i="1"/>
  <c r="M142" i="1"/>
  <c r="Q143" i="1"/>
  <c r="M145" i="1"/>
  <c r="Q146" i="1"/>
  <c r="M148" i="1"/>
  <c r="Q149" i="1"/>
  <c r="M151" i="1"/>
  <c r="Q152" i="1"/>
  <c r="M154" i="1"/>
  <c r="Q155" i="1"/>
  <c r="M157" i="1"/>
  <c r="Q158" i="1"/>
  <c r="M160" i="1"/>
  <c r="Q161" i="1"/>
  <c r="M163" i="1"/>
  <c r="Q164" i="1"/>
  <c r="M166" i="1"/>
  <c r="Q167" i="1"/>
  <c r="M169" i="1"/>
  <c r="Q170" i="1"/>
  <c r="M172" i="1"/>
  <c r="Q173" i="1"/>
  <c r="M175" i="1"/>
  <c r="Q176" i="1"/>
  <c r="M178" i="1"/>
  <c r="Q179" i="1"/>
  <c r="M181" i="1"/>
  <c r="R93" i="1"/>
  <c r="R97" i="1"/>
  <c r="M101" i="1"/>
  <c r="M105" i="1"/>
  <c r="P108" i="1"/>
  <c r="R111" i="1"/>
  <c r="R115" i="1"/>
  <c r="M119" i="1"/>
  <c r="M123" i="1"/>
  <c r="P126" i="1"/>
  <c r="R129" i="1"/>
  <c r="R133" i="1"/>
  <c r="M137" i="1"/>
  <c r="M141" i="1"/>
  <c r="S143" i="1"/>
  <c r="M146" i="1"/>
  <c r="R148" i="1"/>
  <c r="P151" i="1"/>
  <c r="R153" i="1"/>
  <c r="P156" i="1"/>
  <c r="M159" i="1"/>
  <c r="S161" i="1"/>
  <c r="M164" i="1"/>
  <c r="R166" i="1"/>
  <c r="P169" i="1"/>
  <c r="R171" i="1"/>
  <c r="P174" i="1"/>
  <c r="M177" i="1"/>
  <c r="P179" i="1"/>
  <c r="R181" i="1"/>
  <c r="P183" i="1"/>
  <c r="M185" i="1"/>
  <c r="R186" i="1"/>
  <c r="O188" i="1"/>
  <c r="T189" i="1"/>
  <c r="Q191" i="1"/>
  <c r="O193" i="1"/>
  <c r="T194" i="1"/>
  <c r="Q196" i="1"/>
  <c r="N198" i="1"/>
  <c r="S199" i="1"/>
  <c r="P201" i="1"/>
  <c r="M203" i="1"/>
  <c r="R204" i="1"/>
  <c r="O206" i="1"/>
  <c r="T207" i="1"/>
  <c r="Q209" i="1"/>
  <c r="O211" i="1"/>
  <c r="T212" i="1"/>
  <c r="Q214" i="1"/>
  <c r="N216" i="1"/>
  <c r="S217" i="1"/>
  <c r="P219" i="1"/>
  <c r="T220" i="1"/>
  <c r="P222" i="1"/>
  <c r="T223" i="1"/>
  <c r="P225" i="1"/>
  <c r="T226" i="1"/>
  <c r="P228" i="1"/>
  <c r="T229" i="1"/>
  <c r="P231" i="1"/>
  <c r="T232" i="1"/>
  <c r="P234" i="1"/>
  <c r="T235" i="1"/>
  <c r="P237" i="1"/>
  <c r="T238" i="1"/>
  <c r="P240" i="1"/>
  <c r="T241" i="1"/>
  <c r="P243" i="1"/>
  <c r="T244" i="1"/>
  <c r="P246" i="1"/>
  <c r="T247" i="1"/>
  <c r="P249" i="1"/>
  <c r="T250" i="1"/>
  <c r="P252" i="1"/>
  <c r="T253" i="1"/>
  <c r="P255" i="1"/>
  <c r="T256" i="1"/>
  <c r="P258" i="1"/>
  <c r="T259" i="1"/>
  <c r="P261" i="1"/>
  <c r="T262" i="1"/>
  <c r="P264" i="1"/>
  <c r="T265" i="1"/>
  <c r="P267" i="1"/>
  <c r="T268" i="1"/>
  <c r="P270" i="1"/>
  <c r="T271" i="1"/>
  <c r="P273" i="1"/>
  <c r="T274" i="1"/>
  <c r="Q201" i="1"/>
  <c r="Q219" i="1"/>
  <c r="Q222" i="1"/>
  <c r="Q225" i="1"/>
  <c r="Q228" i="1"/>
  <c r="Q231" i="1"/>
  <c r="Q234" i="1"/>
  <c r="Q237" i="1"/>
  <c r="Q240" i="1"/>
  <c r="Q243" i="1"/>
  <c r="Q246" i="1"/>
  <c r="Q249" i="1"/>
  <c r="Q252" i="1"/>
  <c r="Q94" i="1"/>
  <c r="T97" i="1"/>
  <c r="N101" i="1"/>
  <c r="N105" i="1"/>
  <c r="Q108" i="1"/>
  <c r="Q112" i="1"/>
  <c r="T115" i="1"/>
  <c r="N119" i="1"/>
  <c r="N123" i="1"/>
  <c r="Q126" i="1"/>
  <c r="Q130" i="1"/>
  <c r="T133" i="1"/>
  <c r="N137" i="1"/>
  <c r="N141" i="1"/>
  <c r="T143" i="1"/>
  <c r="N146" i="1"/>
  <c r="T148" i="1"/>
  <c r="Q151" i="1"/>
  <c r="O154" i="1"/>
  <c r="Q156" i="1"/>
  <c r="N159" i="1"/>
  <c r="T161" i="1"/>
  <c r="N164" i="1"/>
  <c r="T166" i="1"/>
  <c r="Q169" i="1"/>
  <c r="O172" i="1"/>
  <c r="Q174" i="1"/>
  <c r="N177" i="1"/>
  <c r="S179" i="1"/>
  <c r="T181" i="1"/>
  <c r="Q183" i="1"/>
  <c r="N185" i="1"/>
  <c r="S186" i="1"/>
  <c r="P188" i="1"/>
  <c r="M190" i="1"/>
  <c r="S191" i="1"/>
  <c r="P193" i="1"/>
  <c r="M195" i="1"/>
  <c r="R196" i="1"/>
  <c r="O198" i="1"/>
  <c r="T199" i="1"/>
  <c r="N203" i="1"/>
  <c r="S204" i="1"/>
  <c r="P206" i="1"/>
  <c r="M208" i="1"/>
  <c r="S209" i="1"/>
  <c r="P211" i="1"/>
  <c r="M213" i="1"/>
  <c r="R214" i="1"/>
  <c r="O216" i="1"/>
  <c r="T217" i="1"/>
  <c r="M221" i="1"/>
  <c r="M224" i="1"/>
  <c r="M227" i="1"/>
  <c r="M230" i="1"/>
  <c r="M233" i="1"/>
  <c r="M236" i="1"/>
  <c r="M239" i="1"/>
  <c r="M242" i="1"/>
  <c r="M245" i="1"/>
  <c r="M248" i="1"/>
  <c r="M251" i="1"/>
  <c r="R94" i="1"/>
  <c r="M98" i="1"/>
  <c r="M102" i="1"/>
  <c r="P105" i="1"/>
  <c r="R108" i="1"/>
  <c r="R112" i="1"/>
  <c r="M116" i="1"/>
  <c r="M120" i="1"/>
  <c r="P123" i="1"/>
  <c r="R126" i="1"/>
  <c r="R130" i="1"/>
  <c r="M134" i="1"/>
  <c r="M138" i="1"/>
  <c r="P141" i="1"/>
  <c r="M144" i="1"/>
  <c r="S146" i="1"/>
  <c r="M149" i="1"/>
  <c r="R151" i="1"/>
  <c r="P154" i="1"/>
  <c r="R156" i="1"/>
  <c r="P159" i="1"/>
  <c r="M162" i="1"/>
  <c r="S164" i="1"/>
  <c r="M167" i="1"/>
  <c r="R169" i="1"/>
  <c r="P172" i="1"/>
  <c r="R174" i="1"/>
  <c r="P177" i="1"/>
  <c r="T179" i="1"/>
  <c r="T94" i="1"/>
  <c r="N98" i="1"/>
  <c r="N102" i="1"/>
  <c r="Q105" i="1"/>
  <c r="Q109" i="1"/>
  <c r="T112" i="1"/>
  <c r="N116" i="1"/>
  <c r="N120" i="1"/>
  <c r="Q123" i="1"/>
  <c r="Q127" i="1"/>
  <c r="T130" i="1"/>
  <c r="N134" i="1"/>
  <c r="N138" i="1"/>
  <c r="Q141" i="1"/>
  <c r="N144" i="1"/>
  <c r="T146" i="1"/>
  <c r="N149" i="1"/>
  <c r="T151" i="1"/>
  <c r="Q154" i="1"/>
  <c r="O157" i="1"/>
  <c r="Q159" i="1"/>
  <c r="N162" i="1"/>
  <c r="T164" i="1"/>
  <c r="N167" i="1"/>
  <c r="T169" i="1"/>
  <c r="Q172" i="1"/>
  <c r="O175" i="1"/>
  <c r="Q177" i="1"/>
  <c r="M180" i="1"/>
  <c r="M95" i="1"/>
  <c r="M99" i="1"/>
  <c r="P102" i="1"/>
  <c r="R105" i="1"/>
  <c r="R109" i="1"/>
  <c r="M113" i="1"/>
  <c r="M117" i="1"/>
  <c r="P120" i="1"/>
  <c r="R123" i="1"/>
  <c r="R127" i="1"/>
  <c r="M131" i="1"/>
  <c r="M135" i="1"/>
  <c r="P138" i="1"/>
  <c r="R141" i="1"/>
  <c r="P144" i="1"/>
  <c r="M147" i="1"/>
  <c r="S149" i="1"/>
  <c r="M152" i="1"/>
  <c r="N95" i="1"/>
  <c r="N99" i="1"/>
  <c r="Q102" i="1"/>
  <c r="Q106" i="1"/>
  <c r="T109" i="1"/>
  <c r="N113" i="1"/>
  <c r="N117" i="1"/>
  <c r="Q120" i="1"/>
  <c r="Q124" i="1"/>
  <c r="T127" i="1"/>
  <c r="N131" i="1"/>
  <c r="N135" i="1"/>
  <c r="Q138" i="1"/>
  <c r="O142" i="1"/>
  <c r="Q144" i="1"/>
  <c r="N147" i="1"/>
  <c r="T149" i="1"/>
  <c r="N152" i="1"/>
  <c r="T154" i="1"/>
  <c r="M96" i="1"/>
  <c r="P99" i="1"/>
  <c r="R102" i="1"/>
  <c r="R106" i="1"/>
  <c r="M110" i="1"/>
  <c r="M114" i="1"/>
  <c r="P117" i="1"/>
  <c r="R120" i="1"/>
  <c r="R124" i="1"/>
  <c r="M128" i="1"/>
  <c r="M132" i="1"/>
  <c r="P135" i="1"/>
  <c r="R138" i="1"/>
  <c r="P142" i="1"/>
  <c r="R144" i="1"/>
  <c r="P147" i="1"/>
  <c r="M150" i="1"/>
  <c r="S152" i="1"/>
  <c r="M92" i="1"/>
  <c r="N96" i="1"/>
  <c r="Q99" i="1"/>
  <c r="Q103" i="1"/>
  <c r="T106" i="1"/>
  <c r="N110" i="1"/>
  <c r="N114" i="1"/>
  <c r="Q117" i="1"/>
  <c r="Q121" i="1"/>
  <c r="T124" i="1"/>
  <c r="N128" i="1"/>
  <c r="N132" i="1"/>
  <c r="Q135" i="1"/>
  <c r="Q139" i="1"/>
  <c r="Q142" i="1"/>
  <c r="O145" i="1"/>
  <c r="Q147" i="1"/>
  <c r="N150" i="1"/>
  <c r="N92" i="1"/>
  <c r="P96" i="1"/>
  <c r="R99" i="1"/>
  <c r="R103" i="1"/>
  <c r="M107" i="1"/>
  <c r="M111" i="1"/>
  <c r="P114" i="1"/>
  <c r="R117" i="1"/>
  <c r="R121" i="1"/>
  <c r="M125" i="1"/>
  <c r="M129" i="1"/>
  <c r="P132" i="1"/>
  <c r="R135" i="1"/>
  <c r="R139" i="1"/>
  <c r="R142" i="1"/>
  <c r="P145" i="1"/>
  <c r="R147" i="1"/>
  <c r="P150" i="1"/>
  <c r="M153" i="1"/>
  <c r="S155" i="1"/>
  <c r="M158" i="1"/>
  <c r="R160" i="1"/>
  <c r="P163" i="1"/>
  <c r="R165" i="1"/>
  <c r="P168" i="1"/>
  <c r="M171" i="1"/>
  <c r="S173" i="1"/>
  <c r="M176" i="1"/>
  <c r="R178" i="1"/>
  <c r="T180" i="1"/>
  <c r="T182" i="1"/>
  <c r="Q184" i="1"/>
  <c r="N186" i="1"/>
  <c r="S187" i="1"/>
  <c r="P189" i="1"/>
  <c r="M191" i="1"/>
  <c r="R192" i="1"/>
  <c r="O194" i="1"/>
  <c r="T195" i="1"/>
  <c r="Q197" i="1"/>
  <c r="O199" i="1"/>
  <c r="T200" i="1"/>
  <c r="Q202" i="1"/>
  <c r="N204" i="1"/>
  <c r="S205" i="1"/>
  <c r="P207" i="1"/>
  <c r="M209" i="1"/>
  <c r="R210" i="1"/>
  <c r="O212" i="1"/>
  <c r="T213" i="1"/>
  <c r="Q215" i="1"/>
  <c r="O217" i="1"/>
  <c r="T218" i="1"/>
  <c r="P220" i="1"/>
  <c r="T221" i="1"/>
  <c r="P223" i="1"/>
  <c r="T224" i="1"/>
  <c r="P226" i="1"/>
  <c r="T227" i="1"/>
  <c r="P229" i="1"/>
  <c r="T230" i="1"/>
  <c r="P232" i="1"/>
  <c r="T233" i="1"/>
  <c r="P235" i="1"/>
  <c r="T236" i="1"/>
  <c r="P238" i="1"/>
  <c r="T239" i="1"/>
  <c r="P241" i="1"/>
  <c r="T242" i="1"/>
  <c r="P244" i="1"/>
  <c r="T245" i="1"/>
  <c r="P247" i="1"/>
  <c r="T248" i="1"/>
  <c r="P250" i="1"/>
  <c r="T251" i="1"/>
  <c r="P253" i="1"/>
  <c r="T254" i="1"/>
  <c r="P256" i="1"/>
  <c r="T257" i="1"/>
  <c r="P259" i="1"/>
  <c r="T260" i="1"/>
  <c r="P262" i="1"/>
  <c r="T263" i="1"/>
  <c r="P265" i="1"/>
  <c r="T266" i="1"/>
  <c r="N93" i="1"/>
  <c r="Q96" i="1"/>
  <c r="Q100" i="1"/>
  <c r="T103" i="1"/>
  <c r="N107" i="1"/>
  <c r="N111" i="1"/>
  <c r="Q114" i="1"/>
  <c r="Q118" i="1"/>
  <c r="T121" i="1"/>
  <c r="N125" i="1"/>
  <c r="N129" i="1"/>
  <c r="Q132" i="1"/>
  <c r="Q136" i="1"/>
  <c r="T139" i="1"/>
  <c r="T142" i="1"/>
  <c r="Q145" i="1"/>
  <c r="O148" i="1"/>
  <c r="Q150" i="1"/>
  <c r="N153" i="1"/>
  <c r="T155" i="1"/>
  <c r="N158" i="1"/>
  <c r="T160" i="1"/>
  <c r="Q163" i="1"/>
  <c r="O166" i="1"/>
  <c r="Q168" i="1"/>
  <c r="N171" i="1"/>
  <c r="T173" i="1"/>
  <c r="N176" i="1"/>
  <c r="T178" i="1"/>
  <c r="O181" i="1"/>
  <c r="M183" i="1"/>
  <c r="R184" i="1"/>
  <c r="O186" i="1"/>
  <c r="T187" i="1"/>
  <c r="Q189" i="1"/>
  <c r="N191" i="1"/>
  <c r="S192" i="1"/>
  <c r="P194" i="1"/>
  <c r="M196" i="1"/>
  <c r="S197" i="1"/>
  <c r="P199" i="1"/>
  <c r="M201" i="1"/>
  <c r="R202" i="1"/>
  <c r="O204" i="1"/>
  <c r="T205" i="1"/>
  <c r="Q207" i="1"/>
  <c r="N209" i="1"/>
  <c r="S210" i="1"/>
  <c r="P212" i="1"/>
  <c r="M214" i="1"/>
  <c r="S215" i="1"/>
  <c r="P217" i="1"/>
  <c r="M219" i="1"/>
  <c r="Q220" i="1"/>
  <c r="M222" i="1"/>
  <c r="Q223" i="1"/>
  <c r="M225" i="1"/>
  <c r="Q226" i="1"/>
  <c r="M228" i="1"/>
  <c r="Q229" i="1"/>
  <c r="M231" i="1"/>
  <c r="Q232" i="1"/>
  <c r="M234" i="1"/>
  <c r="Q235" i="1"/>
  <c r="M237" i="1"/>
  <c r="Q238" i="1"/>
  <c r="M240" i="1"/>
  <c r="Q241" i="1"/>
  <c r="M243" i="1"/>
  <c r="Q244" i="1"/>
  <c r="M246" i="1"/>
  <c r="Q247" i="1"/>
  <c r="M249" i="1"/>
  <c r="Q250" i="1"/>
  <c r="M252" i="1"/>
  <c r="Q253" i="1"/>
  <c r="M255" i="1"/>
  <c r="Q256" i="1"/>
  <c r="M258" i="1"/>
  <c r="Q259" i="1"/>
  <c r="M261" i="1"/>
  <c r="Q262" i="1"/>
  <c r="M264" i="1"/>
  <c r="Q265" i="1"/>
  <c r="P93" i="1"/>
  <c r="R96" i="1"/>
  <c r="R100" i="1"/>
  <c r="M104" i="1"/>
  <c r="M108" i="1"/>
  <c r="P111" i="1"/>
  <c r="R114" i="1"/>
  <c r="R118" i="1"/>
  <c r="M122" i="1"/>
  <c r="M126" i="1"/>
  <c r="P129" i="1"/>
  <c r="R132" i="1"/>
  <c r="R136" i="1"/>
  <c r="M140" i="1"/>
  <c r="M143" i="1"/>
  <c r="R145" i="1"/>
  <c r="P148" i="1"/>
  <c r="R150" i="1"/>
  <c r="P153" i="1"/>
  <c r="M156" i="1"/>
  <c r="S158" i="1"/>
  <c r="M161" i="1"/>
  <c r="R163" i="1"/>
  <c r="P166" i="1"/>
  <c r="R168" i="1"/>
  <c r="P171" i="1"/>
  <c r="M174" i="1"/>
  <c r="S176" i="1"/>
  <c r="M179" i="1"/>
  <c r="P181" i="1"/>
  <c r="N183" i="1"/>
  <c r="S184" i="1"/>
  <c r="P186" i="1"/>
  <c r="M188" i="1"/>
  <c r="R189" i="1"/>
  <c r="O191" i="1"/>
  <c r="T192" i="1"/>
  <c r="Q194" i="1"/>
  <c r="O196" i="1"/>
  <c r="T197" i="1"/>
  <c r="Q199" i="1"/>
  <c r="N201" i="1"/>
  <c r="S202" i="1"/>
  <c r="P204" i="1"/>
  <c r="M206" i="1"/>
  <c r="R207" i="1"/>
  <c r="O209" i="1"/>
  <c r="T210" i="1"/>
  <c r="Q212" i="1"/>
  <c r="O214" i="1"/>
  <c r="T215" i="1"/>
  <c r="Q217" i="1"/>
  <c r="N219" i="1"/>
  <c r="R220" i="1"/>
  <c r="N222" i="1"/>
  <c r="R223" i="1"/>
  <c r="N225" i="1"/>
  <c r="R226" i="1"/>
  <c r="N228" i="1"/>
  <c r="R229" i="1"/>
  <c r="N231" i="1"/>
  <c r="R232" i="1"/>
  <c r="N234" i="1"/>
  <c r="R235" i="1"/>
  <c r="N237" i="1"/>
  <c r="R238" i="1"/>
  <c r="N240" i="1"/>
  <c r="R241" i="1"/>
  <c r="N243" i="1"/>
  <c r="R244" i="1"/>
  <c r="N246" i="1"/>
  <c r="R247" i="1"/>
  <c r="N249" i="1"/>
  <c r="R250" i="1"/>
  <c r="N252" i="1"/>
  <c r="R253" i="1"/>
  <c r="N255" i="1"/>
  <c r="R256" i="1"/>
  <c r="N258" i="1"/>
  <c r="R259" i="1"/>
  <c r="N261" i="1"/>
  <c r="R262" i="1"/>
  <c r="N264" i="1"/>
  <c r="R265" i="1"/>
  <c r="N267" i="1"/>
  <c r="Q111" i="1"/>
  <c r="O151" i="1"/>
  <c r="R159" i="1"/>
  <c r="P165" i="1"/>
  <c r="Q171" i="1"/>
  <c r="O178" i="1"/>
  <c r="P182" i="1"/>
  <c r="P185" i="1"/>
  <c r="N188" i="1"/>
  <c r="S190" i="1"/>
  <c r="S193" i="1"/>
  <c r="S196" i="1"/>
  <c r="M199" i="1"/>
  <c r="M202" i="1"/>
  <c r="M205" i="1"/>
  <c r="S207" i="1"/>
  <c r="P210" i="1"/>
  <c r="P213" i="1"/>
  <c r="P216" i="1"/>
  <c r="S218" i="1"/>
  <c r="Q221" i="1"/>
  <c r="O224" i="1"/>
  <c r="S226" i="1"/>
  <c r="N229" i="1"/>
  <c r="T231" i="1"/>
  <c r="R234" i="1"/>
  <c r="S236" i="1"/>
  <c r="Q239" i="1"/>
  <c r="O242" i="1"/>
  <c r="S244" i="1"/>
  <c r="N247" i="1"/>
  <c r="T249" i="1"/>
  <c r="R252" i="1"/>
  <c r="R254" i="1"/>
  <c r="N257" i="1"/>
  <c r="N259" i="1"/>
  <c r="R261" i="1"/>
  <c r="R263" i="1"/>
  <c r="N266" i="1"/>
  <c r="M268" i="1"/>
  <c r="R269" i="1"/>
  <c r="O271" i="1"/>
  <c r="T272" i="1"/>
  <c r="Q274" i="1"/>
  <c r="O160" i="1"/>
  <c r="P178" i="1"/>
  <c r="Q185" i="1"/>
  <c r="T190" i="1"/>
  <c r="T196" i="1"/>
  <c r="O202" i="1"/>
  <c r="O208" i="1"/>
  <c r="Q213" i="1"/>
  <c r="O219" i="1"/>
  <c r="P224" i="1"/>
  <c r="O229" i="1"/>
  <c r="S234" i="1"/>
  <c r="R239" i="1"/>
  <c r="N245" i="1"/>
  <c r="M250" i="1"/>
  <c r="S254" i="1"/>
  <c r="O259" i="1"/>
  <c r="S263" i="1"/>
  <c r="N268" i="1"/>
  <c r="P271" i="1"/>
  <c r="R274" i="1"/>
  <c r="R237" i="1"/>
  <c r="O245" i="1"/>
  <c r="T252" i="1"/>
  <c r="P257" i="1"/>
  <c r="O264" i="1"/>
  <c r="T269" i="1"/>
  <c r="S274" i="1"/>
  <c r="Q264" i="1"/>
  <c r="O273" i="1"/>
  <c r="R264" i="1"/>
  <c r="S271" i="1"/>
  <c r="Q115" i="1"/>
  <c r="T152" i="1"/>
  <c r="Q165" i="1"/>
  <c r="R172" i="1"/>
  <c r="Q182" i="1"/>
  <c r="Q188" i="1"/>
  <c r="T193" i="1"/>
  <c r="R199" i="1"/>
  <c r="O205" i="1"/>
  <c r="Q210" i="1"/>
  <c r="Q216" i="1"/>
  <c r="R221" i="1"/>
  <c r="N227" i="1"/>
  <c r="M232" i="1"/>
  <c r="O237" i="1"/>
  <c r="P242" i="1"/>
  <c r="O247" i="1"/>
  <c r="S252" i="1"/>
  <c r="O257" i="1"/>
  <c r="S261" i="1"/>
  <c r="O266" i="1"/>
  <c r="S269" i="1"/>
  <c r="M273" i="1"/>
  <c r="T234" i="1"/>
  <c r="N250" i="1"/>
  <c r="T261" i="1"/>
  <c r="O268" i="1"/>
  <c r="N273" i="1"/>
  <c r="P268" i="1"/>
  <c r="N260" i="1"/>
  <c r="N270" i="1"/>
  <c r="T273" i="1"/>
  <c r="T118" i="1"/>
  <c r="Q153" i="1"/>
  <c r="P160" i="1"/>
  <c r="Q166" i="1"/>
  <c r="T172" i="1"/>
  <c r="Q178" i="1"/>
  <c r="S182" i="1"/>
  <c r="S185" i="1"/>
  <c r="S188" i="1"/>
  <c r="P191" i="1"/>
  <c r="M194" i="1"/>
  <c r="M197" i="1"/>
  <c r="M200" i="1"/>
  <c r="P202" i="1"/>
  <c r="P205" i="1"/>
  <c r="P208" i="1"/>
  <c r="M211" i="1"/>
  <c r="R213" i="1"/>
  <c r="R216" i="1"/>
  <c r="R219" i="1"/>
  <c r="S221" i="1"/>
  <c r="Q224" i="1"/>
  <c r="O227" i="1"/>
  <c r="S229" i="1"/>
  <c r="N232" i="1"/>
  <c r="S239" i="1"/>
  <c r="Q242" i="1"/>
  <c r="S247" i="1"/>
  <c r="O255" i="1"/>
  <c r="S259" i="1"/>
  <c r="P266" i="1"/>
  <c r="Q271" i="1"/>
  <c r="M270" i="1"/>
  <c r="R257" i="1"/>
  <c r="N122" i="1"/>
  <c r="R154" i="1"/>
  <c r="Q160" i="1"/>
  <c r="S167" i="1"/>
  <c r="M173" i="1"/>
  <c r="N179" i="1"/>
  <c r="O183" i="1"/>
  <c r="T185" i="1"/>
  <c r="T188" i="1"/>
  <c r="T191" i="1"/>
  <c r="N194" i="1"/>
  <c r="N197" i="1"/>
  <c r="N200" i="1"/>
  <c r="T202" i="1"/>
  <c r="Q205" i="1"/>
  <c r="Q208" i="1"/>
  <c r="Q211" i="1"/>
  <c r="S213" i="1"/>
  <c r="S216" i="1"/>
  <c r="S219" i="1"/>
  <c r="O222" i="1"/>
  <c r="R224" i="1"/>
  <c r="P227" i="1"/>
  <c r="N230" i="1"/>
  <c r="O232" i="1"/>
  <c r="M235" i="1"/>
  <c r="S237" i="1"/>
  <c r="O240" i="1"/>
  <c r="R242" i="1"/>
  <c r="P245" i="1"/>
  <c r="N248" i="1"/>
  <c r="O250" i="1"/>
  <c r="M253" i="1"/>
  <c r="Q255" i="1"/>
  <c r="Q257" i="1"/>
  <c r="M260" i="1"/>
  <c r="M262" i="1"/>
  <c r="Q266" i="1"/>
  <c r="R271" i="1"/>
  <c r="R266" i="1"/>
  <c r="M272" i="1"/>
  <c r="N126" i="1"/>
  <c r="M155" i="1"/>
  <c r="N161" i="1"/>
  <c r="T167" i="1"/>
  <c r="N173" i="1"/>
  <c r="N180" i="1"/>
  <c r="R183" i="1"/>
  <c r="M186" i="1"/>
  <c r="M189" i="1"/>
  <c r="M192" i="1"/>
  <c r="S194" i="1"/>
  <c r="O197" i="1"/>
  <c r="O200" i="1"/>
  <c r="O203" i="1"/>
  <c r="R205" i="1"/>
  <c r="R208" i="1"/>
  <c r="R211" i="1"/>
  <c r="P214" i="1"/>
  <c r="T216" i="1"/>
  <c r="T219" i="1"/>
  <c r="R222" i="1"/>
  <c r="S224" i="1"/>
  <c r="Q227" i="1"/>
  <c r="O230" i="1"/>
  <c r="S232" i="1"/>
  <c r="N235" i="1"/>
  <c r="T237" i="1"/>
  <c r="R240" i="1"/>
  <c r="S242" i="1"/>
  <c r="Q245" i="1"/>
  <c r="O248" i="1"/>
  <c r="S250" i="1"/>
  <c r="N253" i="1"/>
  <c r="R255" i="1"/>
  <c r="N262" i="1"/>
  <c r="Q268" i="1"/>
  <c r="Q129" i="1"/>
  <c r="N155" i="1"/>
  <c r="P162" i="1"/>
  <c r="M168" i="1"/>
  <c r="N174" i="1"/>
  <c r="P180" i="1"/>
  <c r="S183" i="1"/>
  <c r="Q186" i="1"/>
  <c r="N189" i="1"/>
  <c r="N192" i="1"/>
  <c r="N195" i="1"/>
  <c r="P197" i="1"/>
  <c r="P200" i="1"/>
  <c r="P203" i="1"/>
  <c r="N206" i="1"/>
  <c r="S208" i="1"/>
  <c r="S211" i="1"/>
  <c r="S214" i="1"/>
  <c r="M217" i="1"/>
  <c r="M220" i="1"/>
  <c r="S222" i="1"/>
  <c r="O225" i="1"/>
  <c r="R227" i="1"/>
  <c r="P230" i="1"/>
  <c r="N233" i="1"/>
  <c r="O235" i="1"/>
  <c r="M238" i="1"/>
  <c r="S240" i="1"/>
  <c r="O243" i="1"/>
  <c r="R245" i="1"/>
  <c r="P248" i="1"/>
  <c r="N251" i="1"/>
  <c r="O253" i="1"/>
  <c r="S255" i="1"/>
  <c r="S257" i="1"/>
  <c r="O260" i="1"/>
  <c r="O262" i="1"/>
  <c r="S264" i="1"/>
  <c r="S266" i="1"/>
  <c r="R268" i="1"/>
  <c r="R273" i="1"/>
  <c r="Q133" i="1"/>
  <c r="N156" i="1"/>
  <c r="Q162" i="1"/>
  <c r="N168" i="1"/>
  <c r="P175" i="1"/>
  <c r="Q180" i="1"/>
  <c r="T183" i="1"/>
  <c r="T186" i="1"/>
  <c r="O189" i="1"/>
  <c r="O192" i="1"/>
  <c r="O195" i="1"/>
  <c r="M198" i="1"/>
  <c r="Q200" i="1"/>
  <c r="Q203" i="1"/>
  <c r="Q206" i="1"/>
  <c r="T208" i="1"/>
  <c r="T211" i="1"/>
  <c r="T214" i="1"/>
  <c r="R217" i="1"/>
  <c r="N220" i="1"/>
  <c r="T222" i="1"/>
  <c r="R225" i="1"/>
  <c r="S227" i="1"/>
  <c r="Q230" i="1"/>
  <c r="O233" i="1"/>
  <c r="S235" i="1"/>
  <c r="N238" i="1"/>
  <c r="T240" i="1"/>
  <c r="R243" i="1"/>
  <c r="S245" i="1"/>
  <c r="Q248" i="1"/>
  <c r="O251" i="1"/>
  <c r="S253" i="1"/>
  <c r="T255" i="1"/>
  <c r="O258" i="1"/>
  <c r="P260" i="1"/>
  <c r="S262" i="1"/>
  <c r="T264" i="1"/>
  <c r="M267" i="1"/>
  <c r="S268" i="1"/>
  <c r="Q270" i="1"/>
  <c r="N272" i="1"/>
  <c r="S273" i="1"/>
  <c r="Q93" i="1"/>
  <c r="T136" i="1"/>
  <c r="P157" i="1"/>
  <c r="R162" i="1"/>
  <c r="O169" i="1"/>
  <c r="Q175" i="1"/>
  <c r="R180" i="1"/>
  <c r="M184" i="1"/>
  <c r="M187" i="1"/>
  <c r="S189" i="1"/>
  <c r="P192" i="1"/>
  <c r="P195" i="1"/>
  <c r="P198" i="1"/>
  <c r="S200" i="1"/>
  <c r="S203" i="1"/>
  <c r="S206" i="1"/>
  <c r="P209" i="1"/>
  <c r="M212" i="1"/>
  <c r="M215" i="1"/>
  <c r="M218" i="1"/>
  <c r="O220" i="1"/>
  <c r="M223" i="1"/>
  <c r="S225" i="1"/>
  <c r="O228" i="1"/>
  <c r="R230" i="1"/>
  <c r="P233" i="1"/>
  <c r="N236" i="1"/>
  <c r="O238" i="1"/>
  <c r="M241" i="1"/>
  <c r="S243" i="1"/>
  <c r="O246" i="1"/>
  <c r="R248" i="1"/>
  <c r="P251" i="1"/>
  <c r="M254" i="1"/>
  <c r="M256" i="1"/>
  <c r="Q258" i="1"/>
  <c r="Q260" i="1"/>
  <c r="M263" i="1"/>
  <c r="M265" i="1"/>
  <c r="O267" i="1"/>
  <c r="M269" i="1"/>
  <c r="R270" i="1"/>
  <c r="O272" i="1"/>
  <c r="Q97" i="1"/>
  <c r="N140" i="1"/>
  <c r="Q157" i="1"/>
  <c r="O163" i="1"/>
  <c r="M170" i="1"/>
  <c r="R175" i="1"/>
  <c r="Q181" i="1"/>
  <c r="O184" i="1"/>
  <c r="O187" i="1"/>
  <c r="O190" i="1"/>
  <c r="Q192" i="1"/>
  <c r="Q195" i="1"/>
  <c r="Q198" i="1"/>
  <c r="O201" i="1"/>
  <c r="T203" i="1"/>
  <c r="T206" i="1"/>
  <c r="T209" i="1"/>
  <c r="N212" i="1"/>
  <c r="N215" i="1"/>
  <c r="N218" i="1"/>
  <c r="S220" i="1"/>
  <c r="N223" i="1"/>
  <c r="T225" i="1"/>
  <c r="R228" i="1"/>
  <c r="S230" i="1"/>
  <c r="Q233" i="1"/>
  <c r="O236" i="1"/>
  <c r="S238" i="1"/>
  <c r="N241" i="1"/>
  <c r="T243" i="1"/>
  <c r="R246" i="1"/>
  <c r="S248" i="1"/>
  <c r="Q251" i="1"/>
  <c r="N254" i="1"/>
  <c r="N256" i="1"/>
  <c r="R258" i="1"/>
  <c r="R260" i="1"/>
  <c r="N263" i="1"/>
  <c r="N265" i="1"/>
  <c r="Q267" i="1"/>
  <c r="N269" i="1"/>
  <c r="S270" i="1"/>
  <c r="P272" i="1"/>
  <c r="M274" i="1"/>
  <c r="O274" i="1"/>
  <c r="Q148" i="1"/>
  <c r="R177" i="1"/>
  <c r="R187" i="1"/>
  <c r="P196" i="1"/>
  <c r="T204" i="1"/>
  <c r="O213" i="1"/>
  <c r="P221" i="1"/>
  <c r="M229" i="1"/>
  <c r="R236" i="1"/>
  <c r="O244" i="1"/>
  <c r="S249" i="1"/>
  <c r="M257" i="1"/>
  <c r="Q261" i="1"/>
  <c r="T267" i="1"/>
  <c r="N271" i="1"/>
  <c r="P274" i="1"/>
  <c r="T100" i="1"/>
  <c r="N143" i="1"/>
  <c r="R157" i="1"/>
  <c r="T163" i="1"/>
  <c r="N170" i="1"/>
  <c r="T175" i="1"/>
  <c r="M182" i="1"/>
  <c r="P184" i="1"/>
  <c r="P187" i="1"/>
  <c r="P190" i="1"/>
  <c r="M193" i="1"/>
  <c r="R195" i="1"/>
  <c r="R198" i="1"/>
  <c r="R201" i="1"/>
  <c r="M204" i="1"/>
  <c r="M207" i="1"/>
  <c r="M210" i="1"/>
  <c r="S212" i="1"/>
  <c r="O215" i="1"/>
  <c r="O218" i="1"/>
  <c r="N221" i="1"/>
  <c r="O223" i="1"/>
  <c r="M226" i="1"/>
  <c r="S228" i="1"/>
  <c r="O231" i="1"/>
  <c r="R233" i="1"/>
  <c r="P236" i="1"/>
  <c r="N239" i="1"/>
  <c r="O241" i="1"/>
  <c r="M244" i="1"/>
  <c r="S246" i="1"/>
  <c r="O249" i="1"/>
  <c r="R251" i="1"/>
  <c r="O254" i="1"/>
  <c r="O256" i="1"/>
  <c r="S258" i="1"/>
  <c r="S260" i="1"/>
  <c r="O263" i="1"/>
  <c r="O265" i="1"/>
  <c r="R267" i="1"/>
  <c r="O269" i="1"/>
  <c r="T270" i="1"/>
  <c r="Q272" i="1"/>
  <c r="N274" i="1"/>
  <c r="R272" i="1"/>
  <c r="T158" i="1"/>
  <c r="O185" i="1"/>
  <c r="R193" i="1"/>
  <c r="T201" i="1"/>
  <c r="O210" i="1"/>
  <c r="Q218" i="1"/>
  <c r="O226" i="1"/>
  <c r="S231" i="1"/>
  <c r="P239" i="1"/>
  <c r="M247" i="1"/>
  <c r="Q254" i="1"/>
  <c r="M259" i="1"/>
  <c r="M266" i="1"/>
  <c r="Q269" i="1"/>
  <c r="Q273" i="1"/>
  <c r="N104" i="1"/>
  <c r="T145" i="1"/>
  <c r="T157" i="1"/>
  <c r="M165" i="1"/>
  <c r="S170" i="1"/>
  <c r="T176" i="1"/>
  <c r="N182" i="1"/>
  <c r="T184" i="1"/>
  <c r="Q187" i="1"/>
  <c r="Q190" i="1"/>
  <c r="Q193" i="1"/>
  <c r="S195" i="1"/>
  <c r="S198" i="1"/>
  <c r="S201" i="1"/>
  <c r="Q204" i="1"/>
  <c r="N207" i="1"/>
  <c r="N210" i="1"/>
  <c r="N213" i="1"/>
  <c r="P215" i="1"/>
  <c r="P218" i="1"/>
  <c r="O221" i="1"/>
  <c r="S223" i="1"/>
  <c r="N226" i="1"/>
  <c r="T228" i="1"/>
  <c r="R231" i="1"/>
  <c r="S233" i="1"/>
  <c r="Q236" i="1"/>
  <c r="O239" i="1"/>
  <c r="S241" i="1"/>
  <c r="N244" i="1"/>
  <c r="T246" i="1"/>
  <c r="R249" i="1"/>
  <c r="S251" i="1"/>
  <c r="P254" i="1"/>
  <c r="S256" i="1"/>
  <c r="T258" i="1"/>
  <c r="O261" i="1"/>
  <c r="P263" i="1"/>
  <c r="S265" i="1"/>
  <c r="S267" i="1"/>
  <c r="P269" i="1"/>
  <c r="M271" i="1"/>
  <c r="N108" i="1"/>
  <c r="N165" i="1"/>
  <c r="T170" i="1"/>
  <c r="O182" i="1"/>
  <c r="R190" i="1"/>
  <c r="T198" i="1"/>
  <c r="O207" i="1"/>
  <c r="M216" i="1"/>
  <c r="N224" i="1"/>
  <c r="O234" i="1"/>
  <c r="N242" i="1"/>
  <c r="O252" i="1"/>
  <c r="Q263" i="1"/>
  <c r="S272" i="1"/>
  <c r="O270" i="1"/>
  <c r="AC5" i="1"/>
  <c r="AB4" i="1"/>
  <c r="AD5" i="1"/>
  <c r="AD4" i="1"/>
  <c r="AE4" i="1" s="1"/>
  <c r="BB35" i="1"/>
  <c r="AZ35" i="1"/>
  <c r="AR35" i="1"/>
  <c r="AJ35" i="1"/>
  <c r="AD35" i="1"/>
  <c r="BD35" i="1"/>
  <c r="AX35" i="1"/>
  <c r="AV35" i="1"/>
  <c r="AT35" i="1"/>
  <c r="AP35" i="1"/>
  <c r="AN35" i="1"/>
  <c r="AL35" i="1"/>
  <c r="AH35" i="1"/>
  <c r="AF35" i="1"/>
  <c r="AB35" i="1"/>
  <c r="AA4" i="1"/>
  <c r="Q2" i="1"/>
  <c r="Q3" i="1" s="1"/>
  <c r="R2" i="1"/>
  <c r="R3" i="1" s="1"/>
  <c r="S2" i="1"/>
  <c r="S3" i="1" s="1"/>
  <c r="T2" i="1"/>
  <c r="F2" i="1"/>
  <c r="F3" i="1" s="1"/>
  <c r="G2" i="1"/>
  <c r="G3" i="1" s="1"/>
  <c r="H2" i="1"/>
  <c r="H3" i="1" s="1"/>
  <c r="I2" i="1"/>
  <c r="I3" i="1" s="1"/>
  <c r="J2" i="1"/>
  <c r="J3" i="1" s="1"/>
  <c r="K2" i="1"/>
  <c r="K3" i="1" s="1"/>
  <c r="L2" i="1"/>
  <c r="L3" i="1" s="1"/>
  <c r="M2" i="1"/>
  <c r="N2" i="1"/>
  <c r="N3" i="1" s="1"/>
  <c r="O2" i="1"/>
  <c r="P2" i="1"/>
  <c r="E2" i="1"/>
  <c r="E3" i="1" s="1"/>
  <c r="Z5" i="1"/>
  <c r="Z6" i="1" s="1"/>
  <c r="C6" i="4" s="1"/>
  <c r="C7" i="4" s="1"/>
  <c r="AE5" i="1" l="1"/>
  <c r="Z7" i="1"/>
  <c r="M3" i="1"/>
  <c r="P3" i="1"/>
  <c r="O3" i="1"/>
  <c r="T3" i="1"/>
  <c r="D4" i="1" a="1"/>
  <c r="D4" i="1" l="1"/>
  <c r="G4" i="1" l="1"/>
  <c r="S4" i="1"/>
  <c r="K4" i="1"/>
  <c r="M4" i="1"/>
  <c r="P4" i="1"/>
  <c r="N4" i="1"/>
  <c r="R4" i="1"/>
  <c r="Q4" i="1"/>
  <c r="O4" i="1"/>
  <c r="I4" i="1"/>
  <c r="H4" i="1"/>
  <c r="F4" i="1"/>
  <c r="T4" i="1"/>
  <c r="E4" i="1"/>
  <c r="L4" i="1"/>
  <c r="J4" i="1"/>
  <c r="D5" i="1" a="1"/>
  <c r="D5" i="1" l="1"/>
  <c r="G5" i="1" l="1"/>
  <c r="S5" i="1"/>
  <c r="M5" i="1"/>
  <c r="R5" i="1"/>
  <c r="T5" i="1"/>
  <c r="P5" i="1"/>
  <c r="O5" i="1"/>
  <c r="N5" i="1"/>
  <c r="Q5" i="1"/>
  <c r="K5" i="1"/>
  <c r="F5" i="1"/>
  <c r="J5" i="1"/>
  <c r="H5" i="1"/>
  <c r="E5" i="1"/>
  <c r="L5" i="1"/>
  <c r="I5" i="1"/>
  <c r="D6" i="1" a="1"/>
  <c r="D6" i="1" l="1"/>
  <c r="N6" i="1" l="1"/>
  <c r="G6" i="1"/>
  <c r="S6" i="1"/>
  <c r="E6" i="1"/>
  <c r="P6" i="1"/>
  <c r="T6" i="1"/>
  <c r="O6" i="1"/>
  <c r="R6" i="1"/>
  <c r="Q6" i="1"/>
  <c r="M6" i="1"/>
  <c r="J6" i="1"/>
  <c r="F6" i="1"/>
  <c r="K6" i="1"/>
  <c r="H6" i="1"/>
  <c r="I6" i="1"/>
  <c r="L6" i="1"/>
  <c r="D7" i="1" a="1"/>
  <c r="D7" i="1" l="1"/>
  <c r="G7" i="1" l="1"/>
  <c r="O7" i="1"/>
  <c r="K7" i="1"/>
  <c r="J7" i="1"/>
  <c r="L7" i="1"/>
  <c r="E7" i="1"/>
  <c r="Q7" i="1"/>
  <c r="S7" i="1"/>
  <c r="M7" i="1"/>
  <c r="N7" i="1"/>
  <c r="F7" i="1"/>
  <c r="T7" i="1"/>
  <c r="R7" i="1"/>
  <c r="P7" i="1"/>
  <c r="H7" i="1"/>
  <c r="I7" i="1"/>
  <c r="D8" i="1" a="1"/>
  <c r="D8" i="1" l="1"/>
  <c r="G8" i="1" l="1"/>
  <c r="T8" i="1"/>
  <c r="I8" i="1"/>
  <c r="E8" i="1"/>
  <c r="K8" i="1"/>
  <c r="L8" i="1"/>
  <c r="S8" i="1"/>
  <c r="P8" i="1"/>
  <c r="R8" i="1"/>
  <c r="Q8" i="1"/>
  <c r="F8" i="1"/>
  <c r="N8" i="1"/>
  <c r="H8" i="1"/>
  <c r="J8" i="1"/>
  <c r="O8" i="1"/>
  <c r="M8" i="1"/>
  <c r="D9" i="1" a="1"/>
  <c r="D9" i="1" l="1"/>
  <c r="T9" i="1" s="1"/>
  <c r="S9" i="1"/>
  <c r="M9" i="1"/>
  <c r="O9" i="1"/>
  <c r="N9" i="1"/>
  <c r="R9" i="1"/>
  <c r="Q9" i="1"/>
  <c r="P9" i="1"/>
  <c r="I9" i="1" l="1"/>
  <c r="G9" i="1"/>
  <c r="E9" i="1"/>
  <c r="L9" i="1"/>
  <c r="J9" i="1"/>
  <c r="H9" i="1"/>
  <c r="K9" i="1"/>
  <c r="F9" i="1"/>
  <c r="D10" i="1" a="1"/>
  <c r="D10" i="1" l="1"/>
  <c r="I10" i="1" s="1"/>
  <c r="T10" i="1"/>
  <c r="S10" i="1"/>
  <c r="M10" i="1"/>
  <c r="O10" i="1"/>
  <c r="P10" i="1"/>
  <c r="Q10" i="1"/>
  <c r="R10" i="1"/>
  <c r="N10" i="1" l="1"/>
  <c r="E10" i="1"/>
  <c r="J10" i="1"/>
  <c r="H10" i="1"/>
  <c r="F10" i="1"/>
  <c r="L10" i="1"/>
  <c r="G10" i="1"/>
  <c r="K10" i="1"/>
  <c r="D11" i="1" a="1"/>
  <c r="D11" i="1" l="1"/>
  <c r="K11" i="1" s="1"/>
  <c r="R11" i="1"/>
  <c r="O11" i="1"/>
  <c r="S11" i="1" l="1"/>
  <c r="Q11" i="1"/>
  <c r="T11" i="1"/>
  <c r="P11" i="1"/>
  <c r="N11" i="1"/>
  <c r="M11" i="1"/>
  <c r="I11" i="1"/>
  <c r="G11" i="1"/>
  <c r="H11" i="1"/>
  <c r="J11" i="1"/>
  <c r="E11" i="1"/>
  <c r="F11" i="1"/>
  <c r="L11" i="1"/>
  <c r="D12" i="1" a="1"/>
  <c r="D12" i="1" l="1"/>
  <c r="H12" i="1" s="1"/>
  <c r="R12" i="1"/>
  <c r="P12" i="1" l="1"/>
  <c r="S12" i="1"/>
  <c r="N12" i="1"/>
  <c r="M12" i="1"/>
  <c r="O12" i="1"/>
  <c r="Q12" i="1"/>
  <c r="T12" i="1"/>
  <c r="K12" i="1"/>
  <c r="L12" i="1"/>
  <c r="E12" i="1"/>
  <c r="F12" i="1"/>
  <c r="I12" i="1"/>
  <c r="J12" i="1"/>
  <c r="G12" i="1"/>
  <c r="D13" i="1" a="1"/>
  <c r="D13" i="1" l="1"/>
  <c r="I13" i="1" s="1"/>
  <c r="R13" i="1"/>
  <c r="P13" i="1"/>
  <c r="O13" i="1"/>
  <c r="N13" i="1"/>
  <c r="Q13" i="1" l="1"/>
  <c r="T13" i="1"/>
  <c r="S13" i="1"/>
  <c r="K13" i="1"/>
  <c r="M13" i="1"/>
  <c r="L13" i="1"/>
  <c r="H13" i="1"/>
  <c r="E13" i="1"/>
  <c r="F13" i="1"/>
  <c r="J13" i="1"/>
  <c r="G13" i="1"/>
  <c r="D14" i="1" a="1"/>
  <c r="D14" i="1" l="1"/>
  <c r="J14" i="1" s="1"/>
  <c r="P14" i="1"/>
  <c r="O14" i="1"/>
  <c r="S14" i="1"/>
  <c r="Q14" i="1"/>
  <c r="T14" i="1"/>
  <c r="R14" i="1"/>
  <c r="L14" i="1" l="1"/>
  <c r="N14" i="1"/>
  <c r="M14" i="1"/>
  <c r="K14" i="1"/>
  <c r="E14" i="1"/>
  <c r="G14" i="1"/>
  <c r="H14" i="1"/>
  <c r="I14" i="1"/>
  <c r="F14" i="1"/>
  <c r="D15" i="1" a="1"/>
  <c r="D15" i="1" l="1"/>
  <c r="J15" i="1" s="1"/>
  <c r="R15" i="1"/>
  <c r="Q15" i="1"/>
  <c r="T15" i="1"/>
  <c r="O15" i="1"/>
  <c r="P15" i="1"/>
  <c r="S15" i="1"/>
  <c r="M15" i="1" l="1"/>
  <c r="N15" i="1"/>
  <c r="L15" i="1"/>
  <c r="K15" i="1"/>
  <c r="H15" i="1"/>
  <c r="G15" i="1"/>
  <c r="E15" i="1"/>
  <c r="F15" i="1"/>
  <c r="I15" i="1"/>
  <c r="D16" i="1" a="1"/>
  <c r="D16" i="1" l="1"/>
  <c r="I16" i="1" s="1"/>
  <c r="S16" i="1"/>
  <c r="M16" i="1"/>
  <c r="T16" i="1"/>
  <c r="O16" i="1"/>
  <c r="R16" i="1"/>
  <c r="Q16" i="1"/>
  <c r="N16" i="1"/>
  <c r="P16" i="1"/>
  <c r="L16" i="1" l="1"/>
  <c r="K16" i="1"/>
  <c r="G16" i="1"/>
  <c r="E16" i="1"/>
  <c r="F16" i="1"/>
  <c r="H16" i="1"/>
  <c r="J16" i="1"/>
  <c r="D17" i="1" a="1"/>
  <c r="D17" i="1" l="1"/>
  <c r="I17" i="1" s="1"/>
  <c r="P17" i="1"/>
  <c r="T17" i="1"/>
  <c r="S17" i="1"/>
  <c r="O17" i="1"/>
  <c r="N17" i="1"/>
  <c r="R17" i="1"/>
  <c r="Q17" i="1"/>
  <c r="G17" i="1" l="1"/>
  <c r="L17" i="1"/>
  <c r="K17" i="1"/>
  <c r="M17" i="1"/>
  <c r="F17" i="1"/>
  <c r="E17" i="1"/>
  <c r="J17" i="1"/>
  <c r="H17" i="1"/>
  <c r="D18" i="1" a="1"/>
  <c r="D18" i="1" l="1"/>
  <c r="E18" i="1" s="1"/>
  <c r="T18" i="1"/>
  <c r="S18" i="1"/>
  <c r="R18" i="1"/>
  <c r="P18" i="1"/>
  <c r="N18" i="1" l="1"/>
  <c r="Q18" i="1"/>
  <c r="L18" i="1"/>
  <c r="K18" i="1"/>
  <c r="M18" i="1"/>
  <c r="O18" i="1"/>
  <c r="G18" i="1"/>
  <c r="F18" i="1"/>
  <c r="J18" i="1"/>
  <c r="I18" i="1"/>
  <c r="H18" i="1"/>
  <c r="D19" i="1" a="1"/>
  <c r="D19" i="1" l="1"/>
  <c r="I19" i="1" s="1"/>
  <c r="T19" i="1"/>
  <c r="S19" i="1"/>
  <c r="M19" i="1"/>
  <c r="R19" i="1"/>
  <c r="Q19" i="1"/>
  <c r="N19" i="1"/>
  <c r="P19" i="1"/>
  <c r="O19" i="1" l="1"/>
  <c r="K19" i="1"/>
  <c r="E19" i="1"/>
  <c r="L19" i="1"/>
  <c r="F19" i="1"/>
  <c r="G19" i="1"/>
  <c r="H19" i="1"/>
  <c r="J19" i="1"/>
  <c r="D20" i="1" a="1"/>
  <c r="D20" i="1" l="1"/>
  <c r="J20" i="1" s="1"/>
  <c r="P20" i="1"/>
  <c r="T20" i="1"/>
  <c r="Q20" i="1"/>
  <c r="R20" i="1"/>
  <c r="S20" i="1"/>
  <c r="L20" i="1" l="1"/>
  <c r="N20" i="1"/>
  <c r="O20" i="1"/>
  <c r="M20" i="1"/>
  <c r="F20" i="1"/>
  <c r="G20" i="1"/>
  <c r="K20" i="1"/>
  <c r="H20" i="1"/>
  <c r="I20" i="1"/>
  <c r="E20" i="1"/>
  <c r="D21" i="1" a="1"/>
  <c r="D21" i="1" l="1"/>
  <c r="F21" i="1" s="1"/>
  <c r="Q21" i="1"/>
  <c r="R21" i="1"/>
  <c r="N21" i="1"/>
  <c r="S21" i="1"/>
  <c r="O21" i="1"/>
  <c r="P21" i="1"/>
  <c r="T21" i="1"/>
  <c r="M21" i="1" l="1"/>
  <c r="K21" i="1"/>
  <c r="L21" i="1"/>
  <c r="E21" i="1"/>
  <c r="G21" i="1"/>
  <c r="I21" i="1"/>
  <c r="H21" i="1"/>
  <c r="J21" i="1"/>
  <c r="D22" i="1" a="1"/>
  <c r="D22" i="1" l="1"/>
  <c r="E22" i="1" s="1"/>
  <c r="S22" i="1"/>
  <c r="T22" i="1"/>
  <c r="Q22" i="1"/>
  <c r="R22" i="1"/>
  <c r="P22" i="1"/>
  <c r="L22" i="1" l="1"/>
  <c r="J22" i="1"/>
  <c r="N22" i="1"/>
  <c r="O22" i="1"/>
  <c r="M22" i="1"/>
  <c r="I22" i="1"/>
  <c r="H22" i="1"/>
  <c r="G22" i="1"/>
  <c r="K22" i="1"/>
  <c r="F22" i="1"/>
  <c r="D23" i="1" a="1"/>
  <c r="D23" i="1" l="1"/>
  <c r="J23" i="1" s="1"/>
  <c r="P23" i="1"/>
  <c r="Q23" i="1"/>
  <c r="T23" i="1"/>
  <c r="O23" i="1"/>
  <c r="R23" i="1"/>
  <c r="S23" i="1"/>
  <c r="N23" i="1"/>
  <c r="G23" i="1" l="1"/>
  <c r="K23" i="1"/>
  <c r="M23" i="1"/>
  <c r="I23" i="1"/>
  <c r="H23" i="1"/>
  <c r="F23" i="1"/>
  <c r="E23" i="1"/>
  <c r="L23" i="1"/>
  <c r="D24" i="1" a="1"/>
  <c r="D24" i="1" l="1"/>
  <c r="G24" i="1" s="1"/>
  <c r="R24" i="1"/>
  <c r="Q24" i="1"/>
  <c r="S24" i="1"/>
  <c r="T24" i="1"/>
  <c r="P24" i="1"/>
  <c r="N24" i="1"/>
  <c r="L24" i="1" l="1"/>
  <c r="H24" i="1"/>
  <c r="K24" i="1"/>
  <c r="O24" i="1"/>
  <c r="M24" i="1"/>
  <c r="I24" i="1"/>
  <c r="J24" i="1"/>
  <c r="F24" i="1"/>
  <c r="E24" i="1"/>
  <c r="D25" i="1" a="1"/>
  <c r="D25" i="1" l="1"/>
  <c r="K25" i="1" s="1"/>
  <c r="O25" i="1"/>
  <c r="S25" i="1"/>
  <c r="N25" i="1"/>
  <c r="Q25" i="1"/>
  <c r="R25" i="1"/>
  <c r="P25" i="1"/>
  <c r="T25" i="1"/>
  <c r="L25" i="1" l="1"/>
  <c r="M25" i="1"/>
  <c r="H25" i="1"/>
  <c r="I25" i="1"/>
  <c r="F25" i="1"/>
  <c r="E25" i="1"/>
  <c r="J25" i="1"/>
  <c r="G25" i="1"/>
  <c r="D26" i="1" a="1"/>
  <c r="D26" i="1" l="1"/>
  <c r="F26" i="1" s="1"/>
  <c r="M26" i="1"/>
  <c r="T26" i="1"/>
  <c r="P26" i="1"/>
  <c r="S26" i="1"/>
  <c r="Q26" i="1"/>
  <c r="N26" i="1"/>
  <c r="R26" i="1"/>
  <c r="O26" i="1"/>
  <c r="K26" i="1" l="1"/>
  <c r="L26" i="1"/>
  <c r="I26" i="1"/>
  <c r="J26" i="1"/>
  <c r="G26" i="1"/>
  <c r="H26" i="1"/>
  <c r="E26" i="1"/>
  <c r="D27" i="1" a="1"/>
  <c r="D27" i="1" l="1"/>
  <c r="E27" i="1" s="1"/>
  <c r="R27" i="1"/>
  <c r="Q27" i="1"/>
  <c r="M27" i="1"/>
  <c r="S27" i="1"/>
  <c r="T27" i="1"/>
  <c r="N27" i="1"/>
  <c r="O27" i="1"/>
  <c r="P27" i="1"/>
  <c r="K27" i="1" l="1"/>
  <c r="L27" i="1"/>
  <c r="J27" i="1"/>
  <c r="G27" i="1"/>
  <c r="I27" i="1"/>
  <c r="H27" i="1"/>
  <c r="F27" i="1"/>
  <c r="D28" i="1" a="1"/>
  <c r="D28" i="1" l="1"/>
  <c r="H28" i="1" s="1"/>
  <c r="P28" i="1"/>
  <c r="R28" i="1"/>
  <c r="Q28" i="1"/>
  <c r="N28" i="1"/>
  <c r="T28" i="1" l="1"/>
  <c r="S28" i="1"/>
  <c r="M28" i="1"/>
  <c r="K28" i="1"/>
  <c r="L28" i="1"/>
  <c r="O28" i="1"/>
  <c r="E28" i="1"/>
  <c r="I28" i="1"/>
  <c r="G28" i="1"/>
  <c r="F28" i="1"/>
  <c r="J28" i="1"/>
  <c r="D29" i="1" a="1"/>
  <c r="D29" i="1" l="1"/>
  <c r="L29" i="1" s="1"/>
  <c r="M29" i="1"/>
  <c r="P29" i="1"/>
  <c r="T29" i="1"/>
  <c r="Q29" i="1"/>
  <c r="S29" i="1"/>
  <c r="O29" i="1"/>
  <c r="N29" i="1"/>
  <c r="R29" i="1"/>
  <c r="J29" i="1" l="1"/>
  <c r="I29" i="1"/>
  <c r="E29" i="1"/>
  <c r="F29" i="1"/>
  <c r="G29" i="1"/>
  <c r="H29" i="1"/>
  <c r="K29" i="1"/>
  <c r="D30" i="1" a="1"/>
  <c r="D30" i="1" l="1"/>
  <c r="L30" i="1" s="1"/>
  <c r="Q30" i="1"/>
  <c r="N30" i="1"/>
  <c r="O30" i="1"/>
  <c r="R30" i="1"/>
  <c r="S30" i="1"/>
  <c r="T30" i="1"/>
  <c r="M30" i="1"/>
  <c r="P30" i="1"/>
  <c r="F30" i="1" l="1"/>
  <c r="K30" i="1"/>
  <c r="H30" i="1"/>
  <c r="G30" i="1"/>
  <c r="I30" i="1"/>
  <c r="E30" i="1"/>
  <c r="J30" i="1"/>
  <c r="D31" i="1" a="1"/>
  <c r="D31" i="1" l="1"/>
  <c r="E31" i="1" s="1"/>
  <c r="M31" i="1"/>
  <c r="S31" i="1"/>
  <c r="O31" i="1"/>
  <c r="R31" i="1"/>
  <c r="T31" i="1"/>
  <c r="N31" i="1"/>
  <c r="Q31" i="1"/>
  <c r="P31" i="1"/>
  <c r="G31" i="1" l="1"/>
  <c r="L31" i="1"/>
  <c r="I31" i="1"/>
  <c r="F31" i="1"/>
  <c r="K31" i="1"/>
  <c r="H31" i="1"/>
  <c r="J31" i="1"/>
  <c r="D32" i="1" a="1"/>
  <c r="D32" i="1" l="1"/>
  <c r="J32" i="1" s="1"/>
  <c r="T32" i="1"/>
  <c r="P32" i="1"/>
  <c r="M32" i="1"/>
  <c r="S32" i="1"/>
  <c r="R32" i="1"/>
  <c r="O32" i="1"/>
  <c r="N32" i="1"/>
  <c r="Q32" i="1"/>
  <c r="H32" i="1" l="1"/>
  <c r="F32" i="1"/>
  <c r="L32" i="1"/>
  <c r="K32" i="1"/>
  <c r="I32" i="1"/>
  <c r="G32" i="1"/>
  <c r="E32" i="1"/>
  <c r="D33" i="1" a="1"/>
  <c r="D33" i="1" l="1"/>
  <c r="F33" i="1" s="1"/>
  <c r="R33" i="1"/>
  <c r="O33" i="1"/>
  <c r="Q33" i="1"/>
  <c r="N33" i="1"/>
  <c r="P33" i="1"/>
  <c r="H33" i="1"/>
  <c r="J33" i="1"/>
  <c r="T33" i="1" l="1"/>
  <c r="M33" i="1"/>
  <c r="S33" i="1"/>
  <c r="L33" i="1"/>
  <c r="G33" i="1"/>
  <c r="I33" i="1"/>
  <c r="E33" i="1"/>
  <c r="K33" i="1"/>
  <c r="D34" i="1" a="1"/>
  <c r="D34" i="1" l="1"/>
  <c r="J34" i="1" s="1"/>
  <c r="O34" i="1"/>
  <c r="M34" i="1"/>
  <c r="S34" i="1"/>
  <c r="N34" i="1"/>
  <c r="P34" i="1"/>
  <c r="T34" i="1"/>
  <c r="Q34" i="1"/>
  <c r="R34" i="1"/>
  <c r="K34" i="1" l="1"/>
  <c r="E34" i="1"/>
  <c r="G34" i="1"/>
  <c r="I34" i="1"/>
  <c r="F34" i="1"/>
  <c r="H34" i="1"/>
  <c r="L34" i="1"/>
  <c r="D35" i="1" a="1"/>
  <c r="D35" i="1" l="1"/>
  <c r="F35" i="1" s="1"/>
  <c r="T35" i="1"/>
  <c r="S35" i="1"/>
  <c r="N35" i="1"/>
  <c r="P35" i="1"/>
  <c r="Q35" i="1"/>
  <c r="O35" i="1"/>
  <c r="R35" i="1"/>
  <c r="M35" i="1"/>
  <c r="I35" i="1"/>
  <c r="H35" i="1" l="1"/>
  <c r="G35" i="1"/>
  <c r="E35" i="1"/>
  <c r="L35" i="1"/>
  <c r="K35" i="1"/>
  <c r="J35" i="1"/>
  <c r="D36" i="1" a="1"/>
  <c r="D36" i="1" l="1"/>
  <c r="I36" i="1" s="1"/>
  <c r="R36" i="1"/>
  <c r="N36" i="1"/>
  <c r="S36" i="1"/>
  <c r="T36" i="1"/>
  <c r="M36" i="1"/>
  <c r="Q36" i="1"/>
  <c r="O36" i="1"/>
  <c r="P36" i="1"/>
  <c r="F36" i="1" l="1"/>
  <c r="K36" i="1"/>
  <c r="G36" i="1"/>
  <c r="E36" i="1"/>
  <c r="J36" i="1"/>
  <c r="H36" i="1"/>
  <c r="L36" i="1"/>
  <c r="D37" i="1" a="1"/>
  <c r="D37" i="1" l="1"/>
  <c r="J37" i="1" s="1"/>
  <c r="N37" i="1"/>
  <c r="S37" i="1"/>
  <c r="R37" i="1"/>
  <c r="T37" i="1"/>
  <c r="Q37" i="1"/>
  <c r="P37" i="1"/>
  <c r="H37" i="1" l="1"/>
  <c r="O37" i="1"/>
  <c r="M37" i="1"/>
  <c r="F37" i="1"/>
  <c r="L37" i="1"/>
  <c r="G37" i="1"/>
  <c r="K37" i="1"/>
  <c r="E37" i="1"/>
  <c r="I37" i="1"/>
  <c r="D38" i="1" a="1"/>
  <c r="D38" i="1" l="1"/>
  <c r="F38" i="1" s="1"/>
  <c r="M38" i="1"/>
  <c r="O38" i="1"/>
  <c r="S38" i="1"/>
  <c r="R38" i="1"/>
  <c r="I38" i="1"/>
  <c r="H38" i="1"/>
  <c r="N38" i="1" l="1"/>
  <c r="Q38" i="1"/>
  <c r="P38" i="1"/>
  <c r="T38" i="1"/>
  <c r="L38" i="1"/>
  <c r="E38" i="1"/>
  <c r="G38" i="1"/>
  <c r="J38" i="1"/>
  <c r="K38" i="1"/>
  <c r="D39" i="1" a="1"/>
  <c r="D39" i="1" l="1"/>
  <c r="F39" i="1" s="1"/>
  <c r="N39" i="1"/>
  <c r="Q39" i="1"/>
  <c r="S39" i="1"/>
  <c r="T39" i="1"/>
  <c r="M39" i="1"/>
  <c r="O39" i="1"/>
  <c r="P39" i="1"/>
  <c r="R39" i="1"/>
  <c r="I39" i="1"/>
  <c r="J39" i="1"/>
  <c r="K39" i="1" l="1"/>
  <c r="H39" i="1"/>
  <c r="G39" i="1"/>
  <c r="L39" i="1"/>
  <c r="E39" i="1"/>
  <c r="D40" i="1" a="1"/>
  <c r="D40" i="1" l="1"/>
  <c r="H40" i="1" s="1"/>
  <c r="M40" i="1"/>
  <c r="O40" i="1"/>
  <c r="S40" i="1"/>
  <c r="P40" i="1"/>
  <c r="R40" i="1"/>
  <c r="T40" i="1"/>
  <c r="N40" i="1"/>
  <c r="Q40" i="1"/>
  <c r="F40" i="1"/>
  <c r="I40" i="1"/>
  <c r="G40" i="1"/>
  <c r="K40" i="1"/>
  <c r="J40" i="1" l="1"/>
  <c r="L40" i="1"/>
  <c r="E40" i="1"/>
  <c r="D41" i="1" a="1"/>
  <c r="D41" i="1" l="1"/>
  <c r="F41" i="1" s="1"/>
  <c r="M41" i="1"/>
  <c r="T41" i="1"/>
  <c r="P41" i="1"/>
  <c r="Q41" i="1"/>
  <c r="R41" i="1"/>
  <c r="S41" i="1"/>
  <c r="N41" i="1"/>
  <c r="O41" i="1"/>
  <c r="K41" i="1"/>
  <c r="I41" i="1"/>
  <c r="J41" i="1"/>
  <c r="H41" i="1" l="1"/>
  <c r="E41" i="1"/>
  <c r="G41" i="1"/>
  <c r="L41" i="1"/>
  <c r="D42" i="1" a="1"/>
  <c r="D42" i="1" l="1"/>
  <c r="H42" i="1" s="1"/>
  <c r="M42" i="1"/>
  <c r="T42" i="1"/>
  <c r="R42" i="1"/>
  <c r="O42" i="1"/>
  <c r="Q42" i="1"/>
  <c r="N42" i="1"/>
  <c r="S42" i="1"/>
  <c r="P42" i="1"/>
  <c r="I42" i="1"/>
  <c r="K42" i="1"/>
  <c r="J42" i="1"/>
  <c r="L42" i="1" l="1"/>
  <c r="G42" i="1"/>
  <c r="F42" i="1"/>
  <c r="E42" i="1"/>
  <c r="D43" i="1" a="1"/>
  <c r="D43" i="1" l="1"/>
  <c r="G43" i="1" s="1"/>
  <c r="O43" i="1"/>
  <c r="S43" i="1"/>
  <c r="M43" i="1"/>
  <c r="P43" i="1"/>
  <c r="R43" i="1"/>
  <c r="T43" i="1"/>
  <c r="Q43" i="1"/>
  <c r="N43" i="1"/>
  <c r="H43" i="1"/>
  <c r="K43" i="1"/>
  <c r="L43" i="1"/>
  <c r="J43" i="1"/>
  <c r="I43" i="1" l="1"/>
  <c r="F43" i="1"/>
  <c r="E43" i="1"/>
  <c r="D44" i="1" a="1"/>
  <c r="D44" i="1" l="1"/>
  <c r="F44" i="1" s="1"/>
  <c r="M44" i="1"/>
  <c r="T44" i="1"/>
  <c r="O44" i="1"/>
  <c r="R44" i="1"/>
  <c r="N44" i="1"/>
  <c r="P44" i="1"/>
  <c r="S44" i="1"/>
  <c r="Q44" i="1"/>
  <c r="K44" i="1"/>
  <c r="H44" i="1"/>
  <c r="L44" i="1"/>
  <c r="E44" i="1"/>
  <c r="J44" i="1"/>
  <c r="I44" i="1"/>
  <c r="G44" i="1"/>
  <c r="D45" i="1" a="1"/>
  <c r="D45" i="1" l="1"/>
  <c r="S45" i="1" l="1"/>
  <c r="R45" i="1"/>
  <c r="O45" i="1"/>
  <c r="T45" i="1"/>
  <c r="N45" i="1"/>
  <c r="M45" i="1"/>
  <c r="Q45" i="1"/>
  <c r="P45" i="1"/>
  <c r="L45" i="1"/>
  <c r="H45" i="1"/>
  <c r="J45" i="1"/>
  <c r="E45" i="1"/>
  <c r="G45" i="1"/>
  <c r="K45" i="1"/>
  <c r="F45" i="1"/>
  <c r="I45" i="1"/>
  <c r="D46" i="1" a="1"/>
  <c r="D46" i="1" l="1"/>
  <c r="M46" i="1" l="1"/>
  <c r="S46" i="1"/>
  <c r="O46" i="1"/>
  <c r="R46" i="1"/>
  <c r="T46" i="1"/>
  <c r="Q46" i="1"/>
  <c r="P46" i="1"/>
  <c r="N46" i="1"/>
  <c r="H46" i="1"/>
  <c r="F46" i="1"/>
  <c r="L46" i="1"/>
  <c r="I46" i="1"/>
  <c r="E46" i="1"/>
  <c r="K46" i="1"/>
  <c r="G46" i="1"/>
  <c r="J46" i="1"/>
  <c r="D47" i="1" a="1"/>
  <c r="D47" i="1" l="1"/>
  <c r="T47" i="1" l="1"/>
  <c r="P47" i="1"/>
  <c r="M47" i="1"/>
  <c r="N47" i="1"/>
  <c r="Q47" i="1"/>
  <c r="R47" i="1"/>
  <c r="S47" i="1"/>
  <c r="O47" i="1"/>
  <c r="F47" i="1"/>
  <c r="G47" i="1"/>
  <c r="E47" i="1"/>
  <c r="J47" i="1"/>
  <c r="K47" i="1"/>
  <c r="L47" i="1"/>
  <c r="H47" i="1"/>
  <c r="I47" i="1"/>
  <c r="D48" i="1" a="1"/>
  <c r="D48" i="1" l="1"/>
  <c r="S48" i="1" l="1"/>
  <c r="M48" i="1"/>
  <c r="N48" i="1"/>
  <c r="O48" i="1"/>
  <c r="T48" i="1"/>
  <c r="Q48" i="1"/>
  <c r="R48" i="1"/>
  <c r="P48" i="1"/>
  <c r="H48" i="1"/>
  <c r="I48" i="1"/>
  <c r="E48" i="1"/>
  <c r="G48" i="1"/>
  <c r="L48" i="1"/>
  <c r="J48" i="1"/>
  <c r="K48" i="1"/>
  <c r="F48" i="1"/>
  <c r="D49" i="1" a="1"/>
  <c r="D49" i="1" l="1"/>
  <c r="S49" i="1" l="1"/>
  <c r="M49" i="1"/>
  <c r="O49" i="1"/>
  <c r="N49" i="1"/>
  <c r="R49" i="1"/>
  <c r="P49" i="1"/>
  <c r="Q49" i="1"/>
  <c r="T49" i="1"/>
  <c r="G49" i="1"/>
  <c r="E49" i="1"/>
  <c r="I49" i="1"/>
  <c r="F49" i="1"/>
  <c r="H49" i="1"/>
  <c r="L49" i="1"/>
  <c r="J49" i="1"/>
  <c r="K49" i="1"/>
  <c r="D50" i="1" a="1"/>
  <c r="D50" i="1" l="1"/>
  <c r="M50" i="1" l="1"/>
  <c r="P50" i="1"/>
  <c r="T50" i="1"/>
  <c r="S50" i="1"/>
  <c r="R50" i="1"/>
  <c r="Q50" i="1"/>
  <c r="N50" i="1"/>
  <c r="O50" i="1"/>
  <c r="H50" i="1"/>
  <c r="E50" i="1"/>
  <c r="J50" i="1"/>
  <c r="I50" i="1"/>
  <c r="L50" i="1"/>
  <c r="G50" i="1"/>
  <c r="K50" i="1"/>
  <c r="F50" i="1"/>
  <c r="D51" i="1" a="1"/>
  <c r="D51" i="1" l="1"/>
  <c r="R51" i="1" l="1"/>
  <c r="T51" i="1"/>
  <c r="Q51" i="1"/>
  <c r="M51" i="1"/>
  <c r="N51" i="1"/>
  <c r="O51" i="1"/>
  <c r="P51" i="1"/>
  <c r="S51" i="1"/>
  <c r="H51" i="1"/>
  <c r="J51" i="1"/>
  <c r="G51" i="1"/>
  <c r="F51" i="1"/>
  <c r="K51" i="1"/>
  <c r="E51" i="1"/>
  <c r="I51" i="1"/>
  <c r="L51" i="1"/>
  <c r="D52" i="1" a="1"/>
  <c r="D52" i="1" l="1"/>
  <c r="S52" i="1" l="1"/>
  <c r="O52" i="1"/>
  <c r="M52" i="1"/>
  <c r="R52" i="1"/>
  <c r="P52" i="1"/>
  <c r="N52" i="1"/>
  <c r="Q52" i="1"/>
  <c r="T52" i="1"/>
  <c r="E52" i="1"/>
  <c r="H52" i="1"/>
  <c r="K52" i="1"/>
  <c r="J52" i="1"/>
  <c r="L52" i="1"/>
  <c r="I52" i="1"/>
  <c r="G52" i="1"/>
  <c r="F52" i="1"/>
  <c r="D53" i="1" a="1"/>
  <c r="D53" i="1" l="1"/>
  <c r="P53" i="1" l="1"/>
  <c r="T53" i="1"/>
  <c r="M53" i="1"/>
  <c r="Q53" i="1"/>
  <c r="N53" i="1"/>
  <c r="S53" i="1"/>
  <c r="O53" i="1"/>
  <c r="R53" i="1"/>
  <c r="E53" i="1"/>
  <c r="K53" i="1"/>
  <c r="J53" i="1"/>
  <c r="H53" i="1"/>
  <c r="F53" i="1"/>
  <c r="G53" i="1"/>
  <c r="I53" i="1"/>
  <c r="L53" i="1"/>
  <c r="D54" i="1" a="1"/>
  <c r="D54" i="1" l="1"/>
  <c r="R54" i="1" l="1"/>
  <c r="Q54" i="1"/>
  <c r="S54" i="1"/>
  <c r="N54" i="1"/>
  <c r="M54" i="1"/>
  <c r="O54" i="1"/>
  <c r="T54" i="1"/>
  <c r="P54" i="1"/>
  <c r="F54" i="1"/>
  <c r="E54" i="1"/>
  <c r="I54" i="1"/>
  <c r="J54" i="1"/>
  <c r="H54" i="1"/>
  <c r="L54" i="1"/>
  <c r="K54" i="1"/>
  <c r="G54" i="1"/>
  <c r="D55" i="1" a="1"/>
  <c r="D55" i="1" l="1"/>
  <c r="O55" i="1" l="1"/>
  <c r="S55" i="1"/>
  <c r="M55" i="1"/>
  <c r="Q55" i="1"/>
  <c r="T55" i="1"/>
  <c r="N55" i="1"/>
  <c r="P55" i="1"/>
  <c r="R55" i="1"/>
  <c r="F55" i="1"/>
  <c r="I55" i="1"/>
  <c r="J55" i="1"/>
  <c r="H55" i="1"/>
  <c r="E55" i="1"/>
  <c r="L55" i="1"/>
  <c r="K55" i="1"/>
  <c r="G55" i="1"/>
  <c r="D56" i="1" a="1"/>
  <c r="D56" i="1" l="1"/>
  <c r="P56" i="1" l="1"/>
  <c r="T56" i="1"/>
  <c r="R56" i="1"/>
  <c r="S56" i="1"/>
  <c r="O56" i="1"/>
  <c r="N56" i="1"/>
  <c r="M56" i="1"/>
  <c r="Q56" i="1"/>
  <c r="G56" i="1"/>
  <c r="H56" i="1"/>
  <c r="L56" i="1"/>
  <c r="I56" i="1"/>
  <c r="J56" i="1"/>
  <c r="K56" i="1"/>
  <c r="F56" i="1"/>
  <c r="E56" i="1"/>
  <c r="D57" i="1" a="1"/>
  <c r="D57" i="1" l="1"/>
  <c r="R57" i="1" l="1"/>
  <c r="Q57" i="1"/>
  <c r="T57" i="1"/>
  <c r="N57" i="1"/>
  <c r="M57" i="1"/>
  <c r="S57" i="1"/>
  <c r="O57" i="1"/>
  <c r="P57" i="1"/>
  <c r="E57" i="1"/>
  <c r="I57" i="1"/>
  <c r="L57" i="1"/>
  <c r="H57" i="1"/>
  <c r="F57" i="1"/>
  <c r="K57" i="1"/>
  <c r="G57" i="1"/>
  <c r="J57" i="1"/>
  <c r="D58" i="1" a="1"/>
  <c r="D58" i="1" l="1"/>
  <c r="S58" i="1" l="1"/>
  <c r="T58" i="1"/>
  <c r="P58" i="1"/>
  <c r="M58" i="1"/>
  <c r="N58" i="1"/>
  <c r="O58" i="1"/>
  <c r="Q58" i="1"/>
  <c r="R58" i="1"/>
  <c r="H58" i="1"/>
  <c r="F58" i="1"/>
  <c r="I58" i="1"/>
  <c r="L58" i="1"/>
  <c r="G58" i="1"/>
  <c r="J58" i="1"/>
  <c r="K58" i="1"/>
  <c r="E58" i="1"/>
  <c r="D59" i="1" a="1"/>
  <c r="D59" i="1" l="1"/>
  <c r="P59" i="1" l="1"/>
  <c r="M59" i="1"/>
  <c r="R59" i="1"/>
  <c r="Q59" i="1"/>
  <c r="S59" i="1"/>
  <c r="T59" i="1"/>
  <c r="N59" i="1"/>
  <c r="O59" i="1"/>
  <c r="G59" i="1"/>
  <c r="L59" i="1"/>
  <c r="I59" i="1"/>
  <c r="J59" i="1"/>
  <c r="F59" i="1"/>
  <c r="E59" i="1"/>
  <c r="H59" i="1"/>
  <c r="K59" i="1"/>
  <c r="D60" i="1" a="1"/>
  <c r="D60" i="1" l="1"/>
  <c r="R60" i="1" l="1"/>
  <c r="O60" i="1"/>
  <c r="T60" i="1"/>
  <c r="Q60" i="1"/>
  <c r="M60" i="1"/>
  <c r="S60" i="1"/>
  <c r="N60" i="1"/>
  <c r="P60" i="1"/>
  <c r="I60" i="1"/>
  <c r="F60" i="1"/>
  <c r="L60" i="1"/>
  <c r="E60" i="1"/>
  <c r="J60" i="1"/>
  <c r="H60" i="1"/>
  <c r="K60" i="1"/>
  <c r="G60" i="1"/>
  <c r="D61" i="1" a="1"/>
  <c r="D61" i="1" l="1"/>
  <c r="M61" i="1" l="1"/>
  <c r="O61" i="1"/>
  <c r="S61" i="1"/>
  <c r="N61" i="1"/>
  <c r="R61" i="1"/>
  <c r="T61" i="1"/>
  <c r="Q61" i="1"/>
  <c r="P61" i="1"/>
  <c r="I61" i="1"/>
  <c r="H61" i="1"/>
  <c r="K61" i="1"/>
  <c r="L61" i="1"/>
  <c r="G61" i="1"/>
  <c r="E61" i="1"/>
  <c r="J61" i="1"/>
  <c r="F61" i="1"/>
  <c r="D62" i="1" a="1"/>
  <c r="D62" i="1" l="1"/>
  <c r="P62" i="1" l="1"/>
  <c r="T62" i="1"/>
  <c r="Q62" i="1"/>
  <c r="N62" i="1"/>
  <c r="M62" i="1"/>
  <c r="S62" i="1"/>
  <c r="R62" i="1"/>
  <c r="O62" i="1"/>
  <c r="L62" i="1"/>
  <c r="I62" i="1"/>
  <c r="K62" i="1"/>
  <c r="E62" i="1"/>
  <c r="G62" i="1"/>
  <c r="F62" i="1"/>
  <c r="J62" i="1"/>
  <c r="H62" i="1"/>
  <c r="D63" i="1" a="1"/>
  <c r="D63" i="1" l="1"/>
  <c r="R63" i="1" l="1"/>
  <c r="M63" i="1"/>
  <c r="N63" i="1"/>
  <c r="S63" i="1"/>
  <c r="Q63" i="1"/>
  <c r="T63" i="1"/>
  <c r="P63" i="1"/>
  <c r="O63" i="1"/>
  <c r="K63" i="1"/>
  <c r="H63" i="1"/>
  <c r="E63" i="1"/>
  <c r="F63" i="1"/>
  <c r="L63" i="1"/>
  <c r="G63" i="1"/>
  <c r="I63" i="1"/>
  <c r="J63" i="1"/>
  <c r="D64" i="1" a="1"/>
  <c r="D64" i="1" l="1"/>
  <c r="O64" i="1" l="1"/>
  <c r="M64" i="1"/>
  <c r="T64" i="1"/>
  <c r="S64" i="1"/>
  <c r="R64" i="1"/>
  <c r="Q64" i="1"/>
  <c r="P64" i="1"/>
  <c r="N64" i="1"/>
  <c r="E64" i="1"/>
  <c r="K64" i="1"/>
  <c r="J64" i="1"/>
  <c r="L64" i="1"/>
  <c r="F64" i="1"/>
  <c r="H64" i="1"/>
  <c r="I64" i="1"/>
  <c r="G64" i="1"/>
  <c r="D65" i="1" a="1"/>
  <c r="D65" i="1" l="1"/>
  <c r="P65" i="1" l="1"/>
  <c r="T65" i="1"/>
  <c r="M65" i="1"/>
  <c r="Q65" i="1"/>
  <c r="S65" i="1"/>
  <c r="O65" i="1"/>
  <c r="N65" i="1"/>
  <c r="R65" i="1"/>
  <c r="K65" i="1"/>
  <c r="I65" i="1"/>
  <c r="H65" i="1"/>
  <c r="G65" i="1"/>
  <c r="J65" i="1"/>
  <c r="E65" i="1"/>
  <c r="L65" i="1"/>
  <c r="F65" i="1"/>
  <c r="D66" i="1" a="1"/>
  <c r="D66" i="1" l="1"/>
  <c r="S66" i="1" l="1"/>
  <c r="Q66" i="1"/>
  <c r="O66" i="1"/>
  <c r="T66" i="1"/>
  <c r="R66" i="1"/>
  <c r="N66" i="1"/>
  <c r="P66" i="1"/>
  <c r="M66" i="1"/>
  <c r="K66" i="1"/>
  <c r="F66" i="1"/>
  <c r="I66" i="1"/>
  <c r="G66" i="1"/>
  <c r="H66" i="1"/>
  <c r="L66" i="1"/>
  <c r="E66" i="1"/>
  <c r="J66" i="1"/>
  <c r="D67" i="1" a="1"/>
  <c r="D67" i="1" l="1"/>
  <c r="M67" i="1" l="1"/>
  <c r="O67" i="1"/>
  <c r="S67" i="1"/>
  <c r="N67" i="1"/>
  <c r="R67" i="1"/>
  <c r="Q67" i="1"/>
  <c r="P67" i="1"/>
  <c r="T67" i="1"/>
  <c r="K67" i="1"/>
  <c r="I67" i="1"/>
  <c r="L67" i="1"/>
  <c r="E67" i="1"/>
  <c r="G67" i="1"/>
  <c r="J67" i="1"/>
  <c r="F67" i="1"/>
  <c r="H67" i="1"/>
  <c r="D68" i="1" a="1"/>
  <c r="D68" i="1" l="1"/>
  <c r="P68" i="1" l="1"/>
  <c r="T68" i="1"/>
  <c r="R68" i="1"/>
  <c r="N68" i="1"/>
  <c r="S68" i="1"/>
  <c r="Q68" i="1"/>
  <c r="M68" i="1"/>
  <c r="O68" i="1"/>
  <c r="J68" i="1"/>
  <c r="E68" i="1"/>
  <c r="F68" i="1"/>
  <c r="G68" i="1"/>
  <c r="L68" i="1"/>
  <c r="I68" i="1"/>
  <c r="K68" i="1"/>
  <c r="H68" i="1"/>
  <c r="D69" i="1" a="1"/>
  <c r="D69" i="1" l="1"/>
  <c r="Q69" i="1" l="1"/>
  <c r="M69" i="1"/>
  <c r="O69" i="1"/>
  <c r="R69" i="1"/>
  <c r="S69" i="1"/>
  <c r="N69" i="1"/>
  <c r="T69" i="1"/>
  <c r="P69" i="1"/>
  <c r="I69" i="1"/>
  <c r="K69" i="1"/>
  <c r="E69" i="1"/>
  <c r="F69" i="1"/>
  <c r="H69" i="1"/>
  <c r="G69" i="1"/>
  <c r="J69" i="1"/>
  <c r="L69" i="1"/>
  <c r="D70" i="1" a="1"/>
  <c r="D70" i="1" l="1"/>
  <c r="M70" i="1" l="1"/>
  <c r="O70" i="1"/>
  <c r="S70" i="1"/>
  <c r="T70" i="1"/>
  <c r="Q70" i="1"/>
  <c r="N70" i="1"/>
  <c r="P70" i="1"/>
  <c r="R70" i="1"/>
  <c r="G70" i="1"/>
  <c r="K70" i="1"/>
  <c r="L70" i="1"/>
  <c r="I70" i="1"/>
  <c r="F70" i="1"/>
  <c r="H70" i="1"/>
  <c r="J70" i="1"/>
  <c r="E70" i="1"/>
  <c r="D71" i="1" a="1"/>
  <c r="D71" i="1" l="1"/>
  <c r="M71" i="1" l="1"/>
  <c r="T71" i="1"/>
  <c r="P71" i="1"/>
  <c r="Q71" i="1"/>
  <c r="S71" i="1"/>
  <c r="O71" i="1"/>
  <c r="R71" i="1"/>
  <c r="N71" i="1"/>
  <c r="I71" i="1"/>
  <c r="F71" i="1"/>
  <c r="J71" i="1"/>
  <c r="H71" i="1"/>
  <c r="G71" i="1"/>
  <c r="K71" i="1"/>
  <c r="L71" i="1"/>
  <c r="E71" i="1"/>
  <c r="D72" i="1" a="1"/>
  <c r="D72" i="1" l="1"/>
  <c r="N72" i="1" l="1"/>
  <c r="S72" i="1"/>
  <c r="R72" i="1"/>
  <c r="M72" i="1"/>
  <c r="T72" i="1"/>
  <c r="Q72" i="1"/>
  <c r="P72" i="1"/>
  <c r="O72" i="1"/>
  <c r="F72" i="1"/>
  <c r="H72" i="1"/>
  <c r="G72" i="1"/>
  <c r="E72" i="1"/>
  <c r="K72" i="1"/>
  <c r="I72" i="1"/>
  <c r="L72" i="1"/>
  <c r="J72" i="1"/>
  <c r="D73" i="1" a="1"/>
  <c r="D73" i="1" l="1"/>
  <c r="O73" i="1" l="1"/>
  <c r="M73" i="1"/>
  <c r="N73" i="1"/>
  <c r="S73" i="1"/>
  <c r="Q73" i="1"/>
  <c r="P73" i="1"/>
  <c r="T73" i="1"/>
  <c r="R73" i="1"/>
  <c r="J73" i="1"/>
  <c r="F73" i="1"/>
  <c r="L73" i="1"/>
  <c r="I73" i="1"/>
  <c r="K73" i="1"/>
  <c r="H73" i="1"/>
  <c r="G73" i="1"/>
  <c r="E73" i="1"/>
  <c r="D74" i="1" a="1"/>
  <c r="D74" i="1" l="1"/>
  <c r="P74" i="1" l="1"/>
  <c r="T74" i="1"/>
  <c r="N74" i="1"/>
  <c r="O74" i="1"/>
  <c r="M74" i="1"/>
  <c r="Q74" i="1"/>
  <c r="R74" i="1"/>
  <c r="S74" i="1"/>
  <c r="I74" i="1"/>
  <c r="L74" i="1"/>
  <c r="H74" i="1"/>
  <c r="F74" i="1"/>
  <c r="E74" i="1"/>
  <c r="K74" i="1"/>
  <c r="J74" i="1"/>
  <c r="G74" i="1"/>
  <c r="D75" i="1" a="1"/>
  <c r="D75" i="1" l="1"/>
  <c r="M75" i="1" l="1"/>
  <c r="S75" i="1"/>
  <c r="Q75" i="1"/>
  <c r="N75" i="1"/>
  <c r="O75" i="1"/>
  <c r="R75" i="1"/>
  <c r="T75" i="1"/>
  <c r="P75" i="1"/>
  <c r="K75" i="1"/>
  <c r="I75" i="1"/>
  <c r="E75" i="1"/>
  <c r="F75" i="1"/>
  <c r="G75" i="1"/>
  <c r="J75" i="1"/>
  <c r="L75" i="1"/>
  <c r="H75" i="1"/>
  <c r="D76" i="1" a="1"/>
  <c r="D76" i="1" l="1"/>
  <c r="O76" i="1" l="1"/>
  <c r="S76" i="1"/>
  <c r="M76" i="1"/>
  <c r="P76" i="1"/>
  <c r="T76" i="1"/>
  <c r="Q76" i="1"/>
  <c r="N76" i="1"/>
  <c r="R76" i="1"/>
  <c r="G76" i="1"/>
  <c r="K76" i="1"/>
  <c r="F76" i="1"/>
  <c r="I76" i="1"/>
  <c r="E76" i="1"/>
  <c r="H76" i="1"/>
  <c r="J76" i="1"/>
  <c r="L76" i="1"/>
  <c r="D77" i="1" a="1"/>
  <c r="D77" i="1" l="1"/>
  <c r="P77" i="1" l="1"/>
  <c r="T77" i="1"/>
  <c r="M77" i="1"/>
  <c r="O77" i="1"/>
  <c r="S77" i="1"/>
  <c r="Q77" i="1"/>
  <c r="R77" i="1"/>
  <c r="N77" i="1"/>
  <c r="I77" i="1"/>
  <c r="L77" i="1"/>
  <c r="K77" i="1"/>
  <c r="E77" i="1"/>
  <c r="J77" i="1"/>
  <c r="F77" i="1"/>
  <c r="H77" i="1"/>
  <c r="G77" i="1"/>
  <c r="D78" i="1" a="1"/>
  <c r="D78" i="1" l="1"/>
  <c r="O78" i="1" l="1"/>
  <c r="Q78" i="1"/>
  <c r="R78" i="1"/>
  <c r="M78" i="1"/>
  <c r="T78" i="1"/>
  <c r="N78" i="1"/>
  <c r="S78" i="1"/>
  <c r="P78" i="1"/>
  <c r="H78" i="1"/>
  <c r="G78" i="1"/>
  <c r="I78" i="1"/>
  <c r="E78" i="1"/>
  <c r="J78" i="1"/>
  <c r="L78" i="1"/>
  <c r="K78" i="1"/>
  <c r="F78" i="1"/>
  <c r="D79" i="1" a="1"/>
  <c r="D79" i="1" l="1"/>
  <c r="M79" i="1" l="1"/>
  <c r="O79" i="1"/>
  <c r="S79" i="1"/>
  <c r="N79" i="1"/>
  <c r="P79" i="1"/>
  <c r="T79" i="1"/>
  <c r="R79" i="1"/>
  <c r="Q79" i="1"/>
  <c r="G79" i="1"/>
  <c r="F79" i="1"/>
  <c r="J79" i="1"/>
  <c r="E79" i="1"/>
  <c r="K79" i="1"/>
  <c r="I79" i="1"/>
  <c r="L79" i="1"/>
  <c r="H79" i="1"/>
  <c r="D80" i="1" a="1"/>
  <c r="D80" i="1" l="1"/>
  <c r="T80" i="1" l="1"/>
  <c r="P80" i="1"/>
  <c r="N80" i="1"/>
  <c r="R80" i="1"/>
  <c r="M80" i="1"/>
  <c r="S80" i="1"/>
  <c r="Q80" i="1"/>
  <c r="O80" i="1"/>
  <c r="I80" i="1"/>
  <c r="H80" i="1"/>
  <c r="G80" i="1"/>
  <c r="F80" i="1"/>
  <c r="L80" i="1"/>
  <c r="E80" i="1"/>
  <c r="K80" i="1"/>
  <c r="J80" i="1"/>
  <c r="D81" i="1" a="1"/>
  <c r="D81" i="1" l="1"/>
  <c r="S81" i="1" l="1"/>
  <c r="N81" i="1"/>
  <c r="R81" i="1"/>
  <c r="O81" i="1"/>
  <c r="M81" i="1"/>
  <c r="T81" i="1"/>
  <c r="P81" i="1"/>
  <c r="Q81" i="1"/>
  <c r="L81" i="1"/>
  <c r="H81" i="1"/>
  <c r="G81" i="1"/>
  <c r="K81" i="1"/>
  <c r="F81" i="1"/>
  <c r="I81" i="1"/>
  <c r="J81" i="1"/>
  <c r="E81" i="1"/>
  <c r="D82" i="1" a="1"/>
  <c r="D82" i="1" l="1"/>
  <c r="S82" i="1" l="1"/>
  <c r="M82" i="1"/>
  <c r="O82" i="1"/>
  <c r="R82" i="1"/>
  <c r="Q82" i="1"/>
  <c r="T82" i="1"/>
  <c r="N82" i="1"/>
  <c r="P82" i="1"/>
  <c r="E82" i="1"/>
  <c r="G82" i="1"/>
  <c r="J82" i="1"/>
  <c r="L82" i="1"/>
  <c r="H82" i="1"/>
  <c r="K82" i="1"/>
  <c r="F82" i="1"/>
  <c r="I82" i="1"/>
  <c r="D83" i="1" a="1"/>
  <c r="D83" i="1" l="1"/>
  <c r="T83" i="1" l="1"/>
  <c r="P83" i="1"/>
  <c r="M83" i="1"/>
  <c r="S83" i="1"/>
  <c r="O83" i="1"/>
  <c r="Q83" i="1"/>
  <c r="N83" i="1"/>
  <c r="R83" i="1"/>
  <c r="E83" i="1"/>
  <c r="H83" i="1"/>
  <c r="F83" i="1"/>
  <c r="J83" i="1"/>
  <c r="K83" i="1"/>
  <c r="I83" i="1"/>
  <c r="G83" i="1"/>
  <c r="L83" i="1"/>
  <c r="D84" i="1" a="1"/>
  <c r="D84" i="1" l="1"/>
  <c r="S84" i="1" l="1"/>
  <c r="N84" i="1"/>
  <c r="O84" i="1"/>
  <c r="Q84" i="1"/>
  <c r="T84" i="1"/>
  <c r="M84" i="1"/>
  <c r="P84" i="1"/>
  <c r="R84" i="1"/>
  <c r="K84" i="1"/>
  <c r="H84" i="1"/>
  <c r="E84" i="1"/>
  <c r="G84" i="1"/>
  <c r="I84" i="1"/>
  <c r="F84" i="1"/>
  <c r="J84" i="1"/>
  <c r="L84" i="1"/>
  <c r="D85" i="1" a="1"/>
  <c r="D85" i="1" l="1"/>
  <c r="S85" i="1" l="1"/>
  <c r="M85" i="1"/>
  <c r="N85" i="1"/>
  <c r="P85" i="1"/>
  <c r="Q85" i="1"/>
  <c r="R85" i="1"/>
  <c r="O85" i="1"/>
  <c r="T85" i="1"/>
  <c r="K85" i="1"/>
  <c r="J85" i="1"/>
  <c r="E85" i="1"/>
  <c r="F85" i="1"/>
  <c r="H85" i="1"/>
  <c r="L85" i="1"/>
  <c r="G85" i="1"/>
  <c r="I85" i="1"/>
  <c r="D86" i="1" a="1"/>
  <c r="D86" i="1" l="1"/>
  <c r="P86" i="1" l="1"/>
  <c r="S86" i="1"/>
  <c r="O86" i="1"/>
  <c r="Q86" i="1"/>
  <c r="N86" i="1"/>
  <c r="M86" i="1"/>
  <c r="R86" i="1"/>
  <c r="T86" i="1"/>
  <c r="G86" i="1"/>
  <c r="F86" i="1"/>
  <c r="I86" i="1"/>
  <c r="H86" i="1"/>
  <c r="K86" i="1"/>
  <c r="E86" i="1"/>
  <c r="J86" i="1"/>
  <c r="L86" i="1"/>
  <c r="D87" i="1" a="1"/>
  <c r="D87" i="1" l="1"/>
  <c r="R87" i="1" l="1"/>
  <c r="Q87" i="1"/>
  <c r="O87" i="1"/>
  <c r="N87" i="1"/>
  <c r="M87" i="1"/>
  <c r="T87" i="1"/>
  <c r="S87" i="1"/>
  <c r="P87" i="1"/>
  <c r="I87" i="1"/>
  <c r="H87" i="1"/>
  <c r="F87" i="1"/>
  <c r="K87" i="1"/>
  <c r="L87" i="1"/>
  <c r="J87" i="1"/>
  <c r="E87" i="1"/>
  <c r="G87" i="1"/>
  <c r="D88" i="1" a="1"/>
  <c r="D88" i="1" l="1"/>
  <c r="O88" i="1" l="1"/>
  <c r="S88" i="1"/>
  <c r="M88" i="1"/>
  <c r="N88" i="1"/>
  <c r="T88" i="1"/>
  <c r="R88" i="1"/>
  <c r="P88" i="1"/>
  <c r="Q88" i="1"/>
  <c r="H88" i="1"/>
  <c r="L88" i="1"/>
  <c r="I88" i="1"/>
  <c r="F88" i="1"/>
  <c r="J88" i="1"/>
  <c r="E88" i="1"/>
  <c r="K88" i="1"/>
  <c r="G88" i="1"/>
  <c r="D89" i="1" a="1"/>
  <c r="D89" i="1" l="1"/>
  <c r="P89" i="1" l="1"/>
  <c r="M89" i="1"/>
  <c r="T89" i="1"/>
  <c r="O89" i="1"/>
  <c r="Q89" i="1"/>
  <c r="S89" i="1"/>
  <c r="R89" i="1"/>
  <c r="N89" i="1"/>
  <c r="H89" i="1"/>
  <c r="J89" i="1"/>
  <c r="K89" i="1"/>
  <c r="E89" i="1"/>
  <c r="G89" i="1"/>
  <c r="L89" i="1"/>
  <c r="F89" i="1"/>
  <c r="I89" i="1"/>
  <c r="D90" i="1" a="1"/>
  <c r="D90" i="1" l="1"/>
  <c r="R90" i="1" l="1"/>
  <c r="T90" i="1"/>
  <c r="O90" i="1"/>
  <c r="M90" i="1"/>
  <c r="Q90" i="1"/>
  <c r="N90" i="1"/>
  <c r="S90" i="1"/>
  <c r="P90" i="1"/>
  <c r="E90" i="1"/>
  <c r="K90" i="1"/>
  <c r="H90" i="1"/>
  <c r="J90" i="1"/>
  <c r="F90" i="1"/>
  <c r="G90" i="1"/>
  <c r="L90" i="1"/>
  <c r="I90" i="1"/>
  <c r="D91" i="1" a="1"/>
  <c r="D91" i="1" l="1"/>
  <c r="S91" i="1" l="1"/>
  <c r="M91" i="1"/>
  <c r="O91" i="1"/>
  <c r="N91" i="1"/>
  <c r="Q91" i="1"/>
  <c r="R91" i="1"/>
  <c r="P91" i="1"/>
  <c r="T91" i="1"/>
  <c r="I91" i="1"/>
  <c r="J91" i="1"/>
  <c r="K91" i="1"/>
  <c r="H91" i="1"/>
  <c r="F91" i="1"/>
  <c r="E91" i="1"/>
  <c r="L91" i="1"/>
  <c r="G91" i="1"/>
  <c r="D92" i="1" a="1"/>
  <c r="D92" i="1" l="1"/>
  <c r="H92" i="1" l="1"/>
  <c r="I92" i="1"/>
  <c r="K92" i="1"/>
  <c r="E92" i="1"/>
  <c r="F92" i="1"/>
  <c r="G92" i="1"/>
  <c r="L92" i="1"/>
  <c r="J92" i="1"/>
  <c r="Z35" i="1"/>
  <c r="D93" i="1" a="1"/>
  <c r="D93" i="1" l="1"/>
  <c r="Z58" i="1" a="1"/>
  <c r="Z58" i="1" s="1"/>
  <c r="Z59" i="1" a="1"/>
  <c r="Z59" i="1" s="1"/>
  <c r="I93" i="1" l="1"/>
  <c r="L93" i="1"/>
  <c r="E93" i="1"/>
  <c r="J93" i="1"/>
  <c r="K93" i="1"/>
  <c r="G93" i="1"/>
  <c r="F93" i="1"/>
  <c r="H93" i="1"/>
  <c r="AB66" i="1"/>
  <c r="X58" i="1"/>
  <c r="Y67" i="1" s="1"/>
  <c r="AD57" i="1"/>
  <c r="X59" i="1"/>
  <c r="X67" i="1" s="1"/>
  <c r="AJ57" i="1"/>
  <c r="Z60" i="1"/>
  <c r="Z61" i="1" s="1"/>
  <c r="AB64" i="1"/>
  <c r="AI57" i="1"/>
  <c r="AG57" i="1"/>
  <c r="AB60" i="1"/>
  <c r="AB61" i="1"/>
  <c r="AK57" i="1"/>
  <c r="AH57" i="1"/>
  <c r="AB63" i="1"/>
  <c r="AB65" i="1"/>
  <c r="AF57" i="1"/>
  <c r="AC57" i="1"/>
  <c r="AB67" i="1"/>
  <c r="AB59" i="1"/>
  <c r="AE57" i="1"/>
  <c r="AB62" i="1"/>
  <c r="AB58" i="1"/>
  <c r="AL57" i="1"/>
  <c r="D94" i="1" a="1"/>
  <c r="D94" i="1" l="1"/>
  <c r="AG61" i="1"/>
  <c r="AH61" i="1"/>
  <c r="AI61" i="1"/>
  <c r="AJ61" i="1"/>
  <c r="AK61" i="1"/>
  <c r="AL61" i="1"/>
  <c r="AC61" i="1"/>
  <c r="AD61" i="1"/>
  <c r="AE61" i="1"/>
  <c r="AF61" i="1"/>
  <c r="AJ58" i="1"/>
  <c r="AK58" i="1"/>
  <c r="AG58" i="1"/>
  <c r="AL58" i="1"/>
  <c r="AC58" i="1"/>
  <c r="AD58" i="1"/>
  <c r="AE58" i="1"/>
  <c r="AF58" i="1"/>
  <c r="AH58" i="1"/>
  <c r="AI58" i="1"/>
  <c r="AE60" i="1"/>
  <c r="AF60" i="1"/>
  <c r="AG60" i="1"/>
  <c r="AH60" i="1"/>
  <c r="AI60" i="1"/>
  <c r="AJ60" i="1"/>
  <c r="AK60" i="1"/>
  <c r="AL60" i="1"/>
  <c r="AC60" i="1"/>
  <c r="AD60" i="1"/>
  <c r="AI62" i="1"/>
  <c r="AJ62" i="1"/>
  <c r="AF62" i="1"/>
  <c r="AK62" i="1"/>
  <c r="AL62" i="1"/>
  <c r="AC62" i="1"/>
  <c r="AD62" i="1"/>
  <c r="AE62" i="1"/>
  <c r="AG62" i="1"/>
  <c r="AH62" i="1"/>
  <c r="AC64" i="1"/>
  <c r="AI64" i="1"/>
  <c r="AJ64" i="1"/>
  <c r="AD64" i="1"/>
  <c r="AE64" i="1"/>
  <c r="AF64" i="1"/>
  <c r="AG64" i="1"/>
  <c r="AH64" i="1"/>
  <c r="AK64" i="1"/>
  <c r="AL64" i="1"/>
  <c r="AG67" i="1"/>
  <c r="AH67" i="1"/>
  <c r="AC67" i="1"/>
  <c r="AI67" i="1"/>
  <c r="AD67" i="1"/>
  <c r="AJ67" i="1"/>
  <c r="AK67" i="1"/>
  <c r="AL67" i="1"/>
  <c r="AE67" i="1"/>
  <c r="AF67" i="1"/>
  <c r="AC65" i="1"/>
  <c r="AK65" i="1"/>
  <c r="AD65" i="1"/>
  <c r="AE65" i="1"/>
  <c r="AF65" i="1"/>
  <c r="AG65" i="1"/>
  <c r="AH65" i="1"/>
  <c r="AI65" i="1"/>
  <c r="AJ65" i="1"/>
  <c r="AL65" i="1"/>
  <c r="AC59" i="1"/>
  <c r="AD59" i="1"/>
  <c r="AE59" i="1"/>
  <c r="AF59" i="1"/>
  <c r="AL59" i="1"/>
  <c r="AG59" i="1"/>
  <c r="AH59" i="1"/>
  <c r="AI59" i="1"/>
  <c r="AJ59" i="1"/>
  <c r="AK59" i="1"/>
  <c r="AK63" i="1"/>
  <c r="AH63" i="1"/>
  <c r="AL63" i="1"/>
  <c r="AC63" i="1"/>
  <c r="AD63" i="1"/>
  <c r="AE63" i="1"/>
  <c r="AG63" i="1"/>
  <c r="AF63" i="1"/>
  <c r="AI63" i="1"/>
  <c r="AJ63" i="1"/>
  <c r="AE66" i="1"/>
  <c r="AF66" i="1"/>
  <c r="AG66" i="1"/>
  <c r="AH66" i="1"/>
  <c r="AI66" i="1"/>
  <c r="AJ66" i="1"/>
  <c r="AK66" i="1"/>
  <c r="AL66" i="1"/>
  <c r="AC66" i="1"/>
  <c r="AD66" i="1"/>
  <c r="I94" i="1" l="1"/>
  <c r="L94" i="1"/>
  <c r="G94" i="1"/>
  <c r="J94" i="1"/>
  <c r="F94" i="1"/>
  <c r="H94" i="1"/>
  <c r="K94" i="1"/>
  <c r="E94" i="1"/>
  <c r="Z62" i="1"/>
  <c r="X74" i="1" s="1"/>
  <c r="AM61" i="1" a="1"/>
  <c r="AM61" i="1" s="1"/>
  <c r="AE68" i="1" a="1"/>
  <c r="AE68" i="1" s="1"/>
  <c r="AM63" i="1" a="1"/>
  <c r="AM63" i="1" s="1"/>
  <c r="AM59" i="1" a="1"/>
  <c r="AM59" i="1" s="1"/>
  <c r="AM67" i="1" a="1"/>
  <c r="AM67" i="1" s="1"/>
  <c r="AM64" i="1" a="1"/>
  <c r="AM64" i="1" s="1"/>
  <c r="AM65" i="1" a="1"/>
  <c r="AM65" i="1" s="1"/>
  <c r="AM62" i="1" a="1"/>
  <c r="AM62" i="1" s="1"/>
  <c r="AI68" i="1" a="1"/>
  <c r="AI68" i="1" s="1"/>
  <c r="AM60" i="1" a="1"/>
  <c r="AM60" i="1" s="1"/>
  <c r="AL68" i="1" a="1"/>
  <c r="AL68" i="1" s="1"/>
  <c r="AM58" i="1" a="1"/>
  <c r="AM58" i="1" s="1"/>
  <c r="AG68" i="1" a="1"/>
  <c r="AG68" i="1" s="1"/>
  <c r="AC68" i="1" a="1"/>
  <c r="AC68" i="1" s="1"/>
  <c r="AJ68" i="1" a="1"/>
  <c r="AJ68" i="1" s="1"/>
  <c r="AM66" i="1" a="1"/>
  <c r="AM66" i="1" s="1"/>
  <c r="AK68" i="1" a="1"/>
  <c r="AK68" i="1" s="1"/>
  <c r="AF68" i="1" a="1"/>
  <c r="AF68" i="1" s="1"/>
  <c r="AD68" i="1" a="1"/>
  <c r="AD68" i="1" s="1"/>
  <c r="AH68" i="1" a="1"/>
  <c r="AH68" i="1" s="1"/>
  <c r="D95" i="1" a="1"/>
  <c r="D95" i="1" l="1"/>
  <c r="F95" i="1" s="1"/>
  <c r="Z64" i="1"/>
  <c r="X64" i="1" s="1"/>
  <c r="Y68" i="1" s="1"/>
  <c r="Z63" i="1"/>
  <c r="X63" i="1" s="1"/>
  <c r="X68" i="1" s="1"/>
  <c r="G95" i="1" l="1"/>
  <c r="I95" i="1"/>
  <c r="H95" i="1"/>
  <c r="J95" i="1"/>
  <c r="L95" i="1"/>
  <c r="K95" i="1"/>
  <c r="E95" i="1"/>
  <c r="D96" i="1" a="1"/>
  <c r="D96" i="1" l="1"/>
  <c r="E96" i="1" l="1"/>
  <c r="K96" i="1"/>
  <c r="J96" i="1"/>
  <c r="L96" i="1"/>
  <c r="I96" i="1"/>
  <c r="G96" i="1"/>
  <c r="F96" i="1"/>
  <c r="H96" i="1"/>
  <c r="D97" i="1" a="1"/>
  <c r="D97" i="1" l="1"/>
  <c r="J97" i="1" l="1"/>
  <c r="H97" i="1"/>
  <c r="I97" i="1"/>
  <c r="K97" i="1"/>
  <c r="L97" i="1"/>
  <c r="E97" i="1"/>
  <c r="F97" i="1"/>
  <c r="G97" i="1"/>
  <c r="D98" i="1" a="1"/>
  <c r="D98" i="1" l="1"/>
  <c r="L98" i="1" l="1"/>
  <c r="I98" i="1"/>
  <c r="K98" i="1"/>
  <c r="J98" i="1"/>
  <c r="F98" i="1"/>
  <c r="E98" i="1"/>
  <c r="H98" i="1"/>
  <c r="G98" i="1"/>
  <c r="D99" i="1" a="1"/>
  <c r="D99" i="1" l="1"/>
  <c r="E99" i="1" l="1"/>
  <c r="H99" i="1"/>
  <c r="K99" i="1"/>
  <c r="G99" i="1"/>
  <c r="L99" i="1"/>
  <c r="I99" i="1"/>
  <c r="F99" i="1"/>
  <c r="J99" i="1"/>
  <c r="D100" i="1" a="1"/>
  <c r="D100" i="1" l="1"/>
  <c r="E100" i="1" l="1"/>
  <c r="L100" i="1"/>
  <c r="H100" i="1"/>
  <c r="K100" i="1"/>
  <c r="F100" i="1"/>
  <c r="G100" i="1"/>
  <c r="J100" i="1"/>
  <c r="I100" i="1"/>
  <c r="D101" i="1" a="1"/>
  <c r="D101" i="1" l="1"/>
  <c r="I101" i="1" l="1"/>
  <c r="L101" i="1"/>
  <c r="G101" i="1"/>
  <c r="J101" i="1"/>
  <c r="E101" i="1"/>
  <c r="F101" i="1"/>
  <c r="H101" i="1"/>
  <c r="K101" i="1"/>
  <c r="D102" i="1" a="1"/>
  <c r="D102" i="1" l="1"/>
  <c r="H102" i="1" l="1"/>
  <c r="E102" i="1"/>
  <c r="L102" i="1"/>
  <c r="I102" i="1"/>
  <c r="F102" i="1"/>
  <c r="G102" i="1"/>
  <c r="K102" i="1"/>
  <c r="J102" i="1"/>
  <c r="D103" i="1" a="1"/>
  <c r="D103" i="1" l="1"/>
  <c r="E103" i="1" l="1"/>
  <c r="L103" i="1"/>
  <c r="I103" i="1"/>
  <c r="J103" i="1"/>
  <c r="G103" i="1"/>
  <c r="H103" i="1"/>
  <c r="K103" i="1"/>
  <c r="F103" i="1"/>
  <c r="D104" i="1" a="1"/>
  <c r="D104" i="1" l="1"/>
  <c r="K104" i="1" l="1"/>
  <c r="E104" i="1"/>
  <c r="H104" i="1"/>
  <c r="I104" i="1"/>
  <c r="L104" i="1"/>
  <c r="G104" i="1"/>
  <c r="J104" i="1"/>
  <c r="F104" i="1"/>
  <c r="D105" i="1" a="1"/>
  <c r="D105" i="1" l="1"/>
  <c r="L105" i="1" l="1"/>
  <c r="J105" i="1"/>
  <c r="K105" i="1"/>
  <c r="E105" i="1"/>
  <c r="G105" i="1"/>
  <c r="F105" i="1"/>
  <c r="I105" i="1"/>
  <c r="H105" i="1"/>
  <c r="D106" i="1" a="1"/>
  <c r="D106" i="1" l="1"/>
  <c r="J106" i="1" l="1"/>
  <c r="K106" i="1"/>
  <c r="E106" i="1"/>
  <c r="H106" i="1"/>
  <c r="F106" i="1"/>
  <c r="G106" i="1"/>
  <c r="I106" i="1"/>
  <c r="L106" i="1"/>
  <c r="D107" i="1" a="1"/>
  <c r="D107" i="1" l="1"/>
  <c r="G107" i="1" l="1"/>
  <c r="J107" i="1"/>
  <c r="H107" i="1"/>
  <c r="E107" i="1"/>
  <c r="I107" i="1"/>
  <c r="K107" i="1"/>
  <c r="L107" i="1"/>
  <c r="F107" i="1"/>
  <c r="D108" i="1" a="1"/>
  <c r="D108" i="1" l="1"/>
  <c r="K108" i="1" l="1"/>
  <c r="J108" i="1"/>
  <c r="E108" i="1"/>
  <c r="L108" i="1"/>
  <c r="H108" i="1"/>
  <c r="F108" i="1"/>
  <c r="I108" i="1"/>
  <c r="G108" i="1"/>
  <c r="D109" i="1" a="1"/>
  <c r="D109" i="1" l="1"/>
  <c r="H109" i="1" l="1"/>
  <c r="I109" i="1"/>
  <c r="K109" i="1"/>
  <c r="G109" i="1"/>
  <c r="F109" i="1"/>
  <c r="L109" i="1"/>
  <c r="E109" i="1"/>
  <c r="J109" i="1"/>
  <c r="D110" i="1" a="1"/>
  <c r="D110" i="1" l="1"/>
  <c r="L110" i="1" l="1"/>
  <c r="I110" i="1"/>
  <c r="F110" i="1"/>
  <c r="K110" i="1"/>
  <c r="J110" i="1"/>
  <c r="G110" i="1"/>
  <c r="H110" i="1"/>
  <c r="E110" i="1"/>
  <c r="D111" i="1" a="1"/>
  <c r="D111" i="1" l="1"/>
  <c r="H111" i="1" l="1"/>
  <c r="J111" i="1"/>
  <c r="E111" i="1"/>
  <c r="K111" i="1"/>
  <c r="L111" i="1"/>
  <c r="I111" i="1"/>
  <c r="G111" i="1"/>
  <c r="F111" i="1"/>
  <c r="D112" i="1" a="1"/>
  <c r="D112" i="1" l="1"/>
  <c r="F112" i="1" l="1"/>
  <c r="I112" i="1"/>
  <c r="L112" i="1"/>
  <c r="J112" i="1"/>
  <c r="H112" i="1"/>
  <c r="E112" i="1"/>
  <c r="K112" i="1"/>
  <c r="G112" i="1"/>
  <c r="D113" i="1" a="1"/>
  <c r="D113" i="1" l="1"/>
  <c r="G113" i="1" l="1"/>
  <c r="I113" i="1"/>
  <c r="H113" i="1"/>
  <c r="J113" i="1"/>
  <c r="K113" i="1"/>
  <c r="L113" i="1"/>
  <c r="E113" i="1"/>
  <c r="F113" i="1"/>
  <c r="D114" i="1" a="1"/>
  <c r="D114" i="1" l="1"/>
  <c r="H114" i="1" l="1"/>
  <c r="J114" i="1"/>
  <c r="F114" i="1"/>
  <c r="G114" i="1"/>
  <c r="E114" i="1"/>
  <c r="L114" i="1"/>
  <c r="K114" i="1"/>
  <c r="I114" i="1"/>
  <c r="D115" i="1" a="1"/>
  <c r="D115" i="1" l="1"/>
  <c r="I115" i="1" l="1"/>
  <c r="J115" i="1"/>
  <c r="F115" i="1"/>
  <c r="G115" i="1"/>
  <c r="L115" i="1"/>
  <c r="E115" i="1"/>
  <c r="K115" i="1"/>
  <c r="H115" i="1"/>
  <c r="D116" i="1" a="1"/>
  <c r="D116" i="1" l="1"/>
  <c r="L116" i="1" l="1"/>
  <c r="K116" i="1"/>
  <c r="I116" i="1"/>
  <c r="H116" i="1"/>
  <c r="G116" i="1"/>
  <c r="E116" i="1"/>
  <c r="J116" i="1"/>
  <c r="F116" i="1"/>
  <c r="D117" i="1" a="1"/>
  <c r="D117" i="1" l="1"/>
  <c r="F117" i="1" l="1"/>
  <c r="E117" i="1"/>
  <c r="K117" i="1"/>
  <c r="L117" i="1"/>
  <c r="G117" i="1"/>
  <c r="H117" i="1"/>
  <c r="I117" i="1"/>
  <c r="J117" i="1"/>
  <c r="D118" i="1" a="1"/>
  <c r="D118" i="1" l="1"/>
  <c r="H118" i="1" l="1"/>
  <c r="K118" i="1"/>
  <c r="L118" i="1"/>
  <c r="F118" i="1"/>
  <c r="G118" i="1"/>
  <c r="E118" i="1"/>
  <c r="J118" i="1"/>
  <c r="I118" i="1"/>
  <c r="D119" i="1" a="1"/>
  <c r="D119" i="1" l="1"/>
  <c r="H119" i="1" l="1"/>
  <c r="K119" i="1"/>
  <c r="G119" i="1"/>
  <c r="J119" i="1"/>
  <c r="F119" i="1"/>
  <c r="E119" i="1"/>
  <c r="L119" i="1"/>
  <c r="I119" i="1"/>
  <c r="D120" i="1" a="1"/>
  <c r="D120" i="1" l="1"/>
  <c r="K120" i="1" l="1"/>
  <c r="I120" i="1"/>
  <c r="E120" i="1"/>
  <c r="L120" i="1"/>
  <c r="G120" i="1"/>
  <c r="H120" i="1"/>
  <c r="F120" i="1"/>
  <c r="J120" i="1"/>
  <c r="D121" i="1" a="1"/>
  <c r="D121" i="1" l="1"/>
  <c r="H121" i="1" l="1"/>
  <c r="K121" i="1"/>
  <c r="F121" i="1"/>
  <c r="J121" i="1"/>
  <c r="G121" i="1"/>
  <c r="E121" i="1"/>
  <c r="I121" i="1"/>
  <c r="L121" i="1"/>
  <c r="D122" i="1" a="1"/>
  <c r="D122" i="1" l="1"/>
  <c r="K122" i="1" l="1"/>
  <c r="E122" i="1"/>
  <c r="L122" i="1"/>
  <c r="J122" i="1"/>
  <c r="H122" i="1"/>
  <c r="F122" i="1"/>
  <c r="I122" i="1"/>
  <c r="G122" i="1"/>
  <c r="D123" i="1" a="1"/>
  <c r="D123" i="1" l="1"/>
  <c r="E123" i="1" l="1"/>
  <c r="H123" i="1"/>
  <c r="G123" i="1"/>
  <c r="L123" i="1"/>
  <c r="F123" i="1"/>
  <c r="I123" i="1"/>
  <c r="K123" i="1"/>
  <c r="J123" i="1"/>
  <c r="D124" i="1" a="1"/>
  <c r="D124" i="1" l="1"/>
  <c r="I124" i="1" l="1"/>
  <c r="K124" i="1"/>
  <c r="H124" i="1"/>
  <c r="G124" i="1"/>
  <c r="J124" i="1"/>
  <c r="E124" i="1"/>
  <c r="L124" i="1"/>
  <c r="F124" i="1"/>
  <c r="D125" i="1" a="1"/>
  <c r="D125" i="1" l="1"/>
  <c r="J125" i="1" l="1"/>
  <c r="K125" i="1"/>
  <c r="G125" i="1"/>
  <c r="H125" i="1"/>
  <c r="F125" i="1"/>
  <c r="E125" i="1"/>
  <c r="I125" i="1"/>
  <c r="L125" i="1"/>
  <c r="D126" i="1" a="1"/>
  <c r="D126" i="1" l="1"/>
  <c r="I126" i="1" l="1"/>
  <c r="H126" i="1"/>
  <c r="K126" i="1"/>
  <c r="E126" i="1"/>
  <c r="L126" i="1"/>
  <c r="J126" i="1"/>
  <c r="F126" i="1"/>
  <c r="G126" i="1"/>
  <c r="D127" i="1" a="1"/>
  <c r="D127" i="1" l="1"/>
  <c r="G127" i="1" l="1"/>
  <c r="I127" i="1"/>
  <c r="K127" i="1"/>
  <c r="L127" i="1"/>
  <c r="E127" i="1"/>
  <c r="J127" i="1"/>
  <c r="F127" i="1"/>
  <c r="H127" i="1"/>
  <c r="D128" i="1" a="1"/>
  <c r="D128" i="1" l="1"/>
  <c r="F128" i="1" l="1"/>
  <c r="L128" i="1"/>
  <c r="E128" i="1"/>
  <c r="J128" i="1"/>
  <c r="G128" i="1"/>
  <c r="I128" i="1"/>
  <c r="K128" i="1"/>
  <c r="H128" i="1"/>
  <c r="D129" i="1" a="1"/>
  <c r="D129" i="1" l="1"/>
  <c r="K129" i="1" l="1"/>
  <c r="G129" i="1"/>
  <c r="I129" i="1"/>
  <c r="J129" i="1"/>
  <c r="L129" i="1"/>
  <c r="E129" i="1"/>
  <c r="F129" i="1"/>
  <c r="H129" i="1"/>
  <c r="D130" i="1" a="1"/>
  <c r="D130" i="1" l="1"/>
  <c r="J130" i="1" l="1"/>
  <c r="E130" i="1"/>
  <c r="H130" i="1"/>
  <c r="I130" i="1"/>
  <c r="G130" i="1"/>
  <c r="L130" i="1"/>
  <c r="K130" i="1"/>
  <c r="F130" i="1"/>
  <c r="D131" i="1" a="1"/>
  <c r="D131" i="1" l="1"/>
  <c r="F131" i="1" l="1"/>
  <c r="H131" i="1"/>
  <c r="E131" i="1"/>
  <c r="L131" i="1"/>
  <c r="K131" i="1"/>
  <c r="J131" i="1"/>
  <c r="I131" i="1"/>
  <c r="G131" i="1"/>
  <c r="D132" i="1" a="1"/>
  <c r="D132" i="1" l="1"/>
  <c r="H132" i="1" l="1"/>
  <c r="L132" i="1"/>
  <c r="J132" i="1"/>
  <c r="E132" i="1"/>
  <c r="F132" i="1"/>
  <c r="G132" i="1"/>
  <c r="K132" i="1"/>
  <c r="I132" i="1"/>
  <c r="D133" i="1" a="1"/>
  <c r="D133" i="1" l="1"/>
  <c r="L133" i="1" l="1"/>
  <c r="F133" i="1"/>
  <c r="K133" i="1"/>
  <c r="H133" i="1"/>
  <c r="I133" i="1"/>
  <c r="J133" i="1"/>
  <c r="E133" i="1"/>
  <c r="G133" i="1"/>
  <c r="D134" i="1" a="1"/>
  <c r="D134" i="1" l="1"/>
  <c r="I134" i="1" l="1"/>
  <c r="H134" i="1"/>
  <c r="F134" i="1"/>
  <c r="L134" i="1"/>
  <c r="K134" i="1"/>
  <c r="G134" i="1"/>
  <c r="E134" i="1"/>
  <c r="J134" i="1"/>
  <c r="D135" i="1" a="1"/>
  <c r="D135" i="1" l="1"/>
  <c r="G135" i="1" l="1"/>
  <c r="K135" i="1"/>
  <c r="I135" i="1"/>
  <c r="E135" i="1"/>
  <c r="H135" i="1"/>
  <c r="L135" i="1"/>
  <c r="J135" i="1"/>
  <c r="F135" i="1"/>
  <c r="D136" i="1" a="1"/>
  <c r="D136" i="1" l="1"/>
  <c r="L136" i="1" l="1"/>
  <c r="K136" i="1"/>
  <c r="H136" i="1"/>
  <c r="I136" i="1"/>
  <c r="G136" i="1"/>
  <c r="E136" i="1"/>
  <c r="J136" i="1"/>
  <c r="F136" i="1"/>
  <c r="D137" i="1" a="1"/>
  <c r="D137" i="1" l="1"/>
  <c r="G137" i="1" l="1"/>
  <c r="E137" i="1"/>
  <c r="F137" i="1"/>
  <c r="K137" i="1"/>
  <c r="H137" i="1"/>
  <c r="I137" i="1"/>
  <c r="J137" i="1"/>
  <c r="L137" i="1"/>
  <c r="D138" i="1" a="1"/>
  <c r="D138" i="1" l="1"/>
  <c r="I138" i="1" l="1"/>
  <c r="G138" i="1"/>
  <c r="J138" i="1"/>
  <c r="F138" i="1"/>
  <c r="L138" i="1"/>
  <c r="K138" i="1"/>
  <c r="E138" i="1"/>
  <c r="H138" i="1"/>
  <c r="D139" i="1" a="1"/>
  <c r="D139" i="1" l="1"/>
  <c r="F139" i="1" l="1"/>
  <c r="H139" i="1"/>
  <c r="J139" i="1"/>
  <c r="I139" i="1"/>
  <c r="K139" i="1"/>
  <c r="L139" i="1"/>
  <c r="E139" i="1"/>
  <c r="G139" i="1"/>
  <c r="D140" i="1" a="1"/>
  <c r="D140" i="1" l="1"/>
  <c r="F140" i="1" l="1"/>
  <c r="L140" i="1"/>
  <c r="H140" i="1"/>
  <c r="J140" i="1"/>
  <c r="E140" i="1"/>
  <c r="G140" i="1"/>
  <c r="K140" i="1"/>
  <c r="I140" i="1"/>
  <c r="D141" i="1" a="1"/>
  <c r="D141" i="1" l="1"/>
  <c r="H141" i="1" l="1"/>
  <c r="K141" i="1"/>
  <c r="F141" i="1"/>
  <c r="G141" i="1"/>
  <c r="I141" i="1"/>
  <c r="J141" i="1"/>
  <c r="L141" i="1"/>
  <c r="E141" i="1"/>
  <c r="D142" i="1" a="1"/>
  <c r="D142" i="1" l="1"/>
  <c r="H142" i="1" l="1"/>
  <c r="G142" i="1"/>
  <c r="I142" i="1"/>
  <c r="E142" i="1"/>
  <c r="J142" i="1"/>
  <c r="K142" i="1"/>
  <c r="L142" i="1"/>
  <c r="F142" i="1"/>
  <c r="D143" i="1" a="1"/>
  <c r="D143" i="1" l="1"/>
  <c r="E143" i="1" l="1"/>
  <c r="J143" i="1"/>
  <c r="H143" i="1"/>
  <c r="F143" i="1"/>
  <c r="I143" i="1"/>
  <c r="G143" i="1"/>
  <c r="L143" i="1"/>
  <c r="K143" i="1"/>
  <c r="D144" i="1" a="1"/>
  <c r="D144" i="1" l="1"/>
  <c r="F144" i="1" l="1"/>
  <c r="L144" i="1"/>
  <c r="J144" i="1"/>
  <c r="K144" i="1"/>
  <c r="G144" i="1"/>
  <c r="E144" i="1"/>
  <c r="H144" i="1"/>
  <c r="I144" i="1"/>
  <c r="D145" i="1" a="1"/>
  <c r="D145" i="1" l="1"/>
  <c r="E145" i="1" l="1"/>
  <c r="I145" i="1"/>
  <c r="L145" i="1"/>
  <c r="G145" i="1"/>
  <c r="F145" i="1"/>
  <c r="J145" i="1"/>
  <c r="H145" i="1"/>
  <c r="K145" i="1"/>
  <c r="D146" i="1" a="1"/>
  <c r="D146" i="1" l="1"/>
  <c r="G146" i="1" l="1"/>
  <c r="H146" i="1"/>
  <c r="E146" i="1"/>
  <c r="F146" i="1"/>
  <c r="K146" i="1"/>
  <c r="L146" i="1"/>
  <c r="I146" i="1"/>
  <c r="J146" i="1"/>
  <c r="D147" i="1" a="1"/>
  <c r="D147" i="1" l="1"/>
  <c r="F147" i="1" l="1"/>
  <c r="G147" i="1"/>
  <c r="L147" i="1"/>
  <c r="E147" i="1"/>
  <c r="K147" i="1"/>
  <c r="H147" i="1"/>
  <c r="I147" i="1"/>
  <c r="J147" i="1"/>
  <c r="D148" i="1" a="1"/>
  <c r="D148" i="1" l="1"/>
  <c r="L148" i="1" l="1"/>
  <c r="H148" i="1"/>
  <c r="J148" i="1"/>
  <c r="K148" i="1"/>
  <c r="G148" i="1"/>
  <c r="I148" i="1"/>
  <c r="E148" i="1"/>
  <c r="F148" i="1"/>
  <c r="D149" i="1" a="1"/>
  <c r="D149" i="1" l="1"/>
  <c r="K149" i="1" l="1"/>
  <c r="E149" i="1"/>
  <c r="G149" i="1"/>
  <c r="L149" i="1"/>
  <c r="F149" i="1"/>
  <c r="J149" i="1"/>
  <c r="I149" i="1"/>
  <c r="H149" i="1"/>
  <c r="D150" i="1" a="1"/>
  <c r="D150" i="1" l="1"/>
  <c r="I150" i="1" l="1"/>
  <c r="E150" i="1"/>
  <c r="G150" i="1"/>
  <c r="K150" i="1"/>
  <c r="L150" i="1"/>
  <c r="H150" i="1"/>
  <c r="F150" i="1"/>
  <c r="J150" i="1"/>
  <c r="D151" i="1" a="1"/>
  <c r="D151" i="1" l="1"/>
  <c r="F151" i="1" l="1"/>
  <c r="K151" i="1"/>
  <c r="G151" i="1"/>
  <c r="E151" i="1"/>
  <c r="J151" i="1"/>
  <c r="L151" i="1"/>
  <c r="I151" i="1"/>
  <c r="H151" i="1"/>
  <c r="D152" i="1" a="1"/>
  <c r="D152" i="1" l="1"/>
  <c r="K152" i="1" l="1"/>
  <c r="I152" i="1"/>
  <c r="G152" i="1"/>
  <c r="H152" i="1"/>
  <c r="E152" i="1"/>
  <c r="F152" i="1"/>
  <c r="L152" i="1"/>
  <c r="J152" i="1"/>
  <c r="D153" i="1" a="1"/>
  <c r="D153" i="1" l="1"/>
  <c r="I153" i="1" l="1"/>
  <c r="E153" i="1"/>
  <c r="K153" i="1"/>
  <c r="G153" i="1"/>
  <c r="H153" i="1"/>
  <c r="L153" i="1"/>
  <c r="J153" i="1"/>
  <c r="F153" i="1"/>
  <c r="D154" i="1" a="1"/>
  <c r="D154" i="1" l="1"/>
  <c r="F154" i="1" l="1"/>
  <c r="L154" i="1"/>
  <c r="E154" i="1"/>
  <c r="H154" i="1"/>
  <c r="G154" i="1"/>
  <c r="I154" i="1"/>
  <c r="K154" i="1"/>
  <c r="J154" i="1"/>
  <c r="D155" i="1" a="1"/>
  <c r="D155" i="1" l="1"/>
  <c r="E155" i="1" l="1"/>
  <c r="G155" i="1"/>
  <c r="K155" i="1"/>
  <c r="J155" i="1"/>
  <c r="I155" i="1"/>
  <c r="F155" i="1"/>
  <c r="H155" i="1"/>
  <c r="L155" i="1"/>
  <c r="D156" i="1" a="1"/>
  <c r="D156" i="1" l="1"/>
  <c r="K156" i="1" l="1"/>
  <c r="F156" i="1"/>
  <c r="H156" i="1"/>
  <c r="L156" i="1"/>
  <c r="I156" i="1"/>
  <c r="J156" i="1"/>
  <c r="E156" i="1"/>
  <c r="G156" i="1"/>
  <c r="D157" i="1" a="1"/>
  <c r="D157" i="1" l="1"/>
  <c r="K157" i="1" l="1"/>
  <c r="I157" i="1"/>
  <c r="G157" i="1"/>
  <c r="F157" i="1"/>
  <c r="J157" i="1"/>
  <c r="H157" i="1"/>
  <c r="E157" i="1"/>
  <c r="L157" i="1"/>
  <c r="D158" i="1" a="1"/>
  <c r="D158" i="1" l="1"/>
  <c r="E158" i="1" l="1"/>
  <c r="H158" i="1"/>
  <c r="L158" i="1"/>
  <c r="K158" i="1"/>
  <c r="J158" i="1"/>
  <c r="G158" i="1"/>
  <c r="F158" i="1"/>
  <c r="I158" i="1"/>
  <c r="D159" i="1" a="1"/>
  <c r="D159" i="1" l="1"/>
  <c r="I159" i="1" l="1"/>
  <c r="G159" i="1"/>
  <c r="F159" i="1"/>
  <c r="E159" i="1"/>
  <c r="H159" i="1"/>
  <c r="L159" i="1"/>
  <c r="J159" i="1"/>
  <c r="K159" i="1"/>
  <c r="D160" i="1" a="1"/>
  <c r="D160" i="1" l="1"/>
  <c r="K160" i="1" l="1"/>
  <c r="I160" i="1"/>
  <c r="L160" i="1"/>
  <c r="H160" i="1"/>
  <c r="F160" i="1"/>
  <c r="J160" i="1"/>
  <c r="E160" i="1"/>
  <c r="G160" i="1"/>
  <c r="D161" i="1" a="1"/>
  <c r="D161" i="1" l="1"/>
  <c r="H161" i="1" l="1"/>
  <c r="E161" i="1"/>
  <c r="I161" i="1"/>
  <c r="J161" i="1"/>
  <c r="G161" i="1"/>
  <c r="K161" i="1"/>
  <c r="L161" i="1"/>
  <c r="F161" i="1"/>
  <c r="D162" i="1" a="1"/>
  <c r="D162" i="1" l="1"/>
  <c r="E162" i="1" l="1"/>
  <c r="G162" i="1"/>
  <c r="F162" i="1"/>
  <c r="K162" i="1"/>
  <c r="H162" i="1"/>
  <c r="L162" i="1"/>
  <c r="I162" i="1"/>
  <c r="J162" i="1"/>
  <c r="D163" i="1" a="1"/>
  <c r="D163" i="1" l="1"/>
  <c r="J163" i="1" l="1"/>
  <c r="H163" i="1"/>
  <c r="K163" i="1"/>
  <c r="L163" i="1"/>
  <c r="F163" i="1"/>
  <c r="I163" i="1"/>
  <c r="E163" i="1"/>
  <c r="G163" i="1"/>
  <c r="D164" i="1" a="1"/>
  <c r="D164" i="1" l="1"/>
  <c r="I164" i="1" l="1"/>
  <c r="F164" i="1"/>
  <c r="G164" i="1"/>
  <c r="J164" i="1"/>
  <c r="H164" i="1"/>
  <c r="L164" i="1"/>
  <c r="E164" i="1"/>
  <c r="K164" i="1"/>
  <c r="D165" i="1" a="1"/>
  <c r="D165" i="1" l="1"/>
  <c r="F165" i="1" l="1"/>
  <c r="L165" i="1"/>
  <c r="G165" i="1"/>
  <c r="I165" i="1"/>
  <c r="H165" i="1"/>
  <c r="E165" i="1"/>
  <c r="J165" i="1"/>
  <c r="K165" i="1"/>
  <c r="D166" i="1" a="1"/>
  <c r="D166" i="1" l="1"/>
  <c r="E166" i="1" l="1"/>
  <c r="H166" i="1"/>
  <c r="I166" i="1"/>
  <c r="K166" i="1"/>
  <c r="L166" i="1"/>
  <c r="F166" i="1"/>
  <c r="J166" i="1"/>
  <c r="G166" i="1"/>
  <c r="D167" i="1" a="1"/>
  <c r="D167" i="1" l="1"/>
  <c r="I167" i="1" l="1"/>
  <c r="L167" i="1"/>
  <c r="J167" i="1"/>
  <c r="F167" i="1"/>
  <c r="H167" i="1"/>
  <c r="K167" i="1"/>
  <c r="E167" i="1"/>
  <c r="G167" i="1"/>
  <c r="D168" i="1" a="1"/>
  <c r="D168" i="1" l="1"/>
  <c r="J168" i="1" l="1"/>
  <c r="L168" i="1"/>
  <c r="F168" i="1"/>
  <c r="H168" i="1"/>
  <c r="I168" i="1"/>
  <c r="K168" i="1"/>
  <c r="G168" i="1"/>
  <c r="E168" i="1"/>
  <c r="D169" i="1" a="1"/>
  <c r="D169" i="1" l="1"/>
  <c r="J169" i="1" l="1"/>
  <c r="F169" i="1"/>
  <c r="I169" i="1"/>
  <c r="K169" i="1"/>
  <c r="H169" i="1"/>
  <c r="G169" i="1"/>
  <c r="E169" i="1"/>
  <c r="L169" i="1"/>
  <c r="D170" i="1" a="1"/>
  <c r="D170" i="1" l="1"/>
  <c r="J170" i="1" l="1"/>
  <c r="H170" i="1"/>
  <c r="G170" i="1"/>
  <c r="L170" i="1"/>
  <c r="I170" i="1"/>
  <c r="E170" i="1"/>
  <c r="F170" i="1"/>
  <c r="K170" i="1"/>
  <c r="D171" i="1" a="1"/>
  <c r="D171" i="1" l="1"/>
  <c r="K171" i="1" l="1"/>
  <c r="H171" i="1"/>
  <c r="F171" i="1"/>
  <c r="L171" i="1"/>
  <c r="G171" i="1"/>
  <c r="I171" i="1"/>
  <c r="J171" i="1"/>
  <c r="E171" i="1"/>
  <c r="D172" i="1" a="1"/>
  <c r="D172" i="1" l="1"/>
  <c r="G172" i="1" l="1"/>
  <c r="F172" i="1"/>
  <c r="L172" i="1"/>
  <c r="K172" i="1"/>
  <c r="H172" i="1"/>
  <c r="J172" i="1"/>
  <c r="E172" i="1"/>
  <c r="I172" i="1"/>
  <c r="D173" i="1" a="1"/>
  <c r="D173" i="1" l="1"/>
  <c r="I173" i="1" l="1"/>
  <c r="F173" i="1"/>
  <c r="E173" i="1"/>
  <c r="G173" i="1"/>
  <c r="L173" i="1"/>
  <c r="J173" i="1"/>
  <c r="K173" i="1"/>
  <c r="H173" i="1"/>
  <c r="D174" i="1" a="1"/>
  <c r="D174" i="1" l="1"/>
  <c r="H174" i="1" l="1"/>
  <c r="F174" i="1"/>
  <c r="I174" i="1"/>
  <c r="G174" i="1"/>
  <c r="L174" i="1"/>
  <c r="E174" i="1"/>
  <c r="K174" i="1"/>
  <c r="J174" i="1"/>
  <c r="D175" i="1" a="1"/>
  <c r="D175" i="1" l="1"/>
  <c r="E175" i="1" l="1"/>
  <c r="F175" i="1"/>
  <c r="I175" i="1"/>
  <c r="H175" i="1"/>
  <c r="G175" i="1"/>
  <c r="J175" i="1"/>
  <c r="L175" i="1"/>
  <c r="K175" i="1"/>
  <c r="D176" i="1" a="1"/>
  <c r="D176" i="1" l="1"/>
  <c r="J176" i="1" l="1"/>
  <c r="F176" i="1"/>
  <c r="E176" i="1"/>
  <c r="I176" i="1"/>
  <c r="H176" i="1"/>
  <c r="G176" i="1"/>
  <c r="L176" i="1"/>
  <c r="K176" i="1"/>
  <c r="D177" i="1" a="1"/>
  <c r="D177" i="1" l="1"/>
  <c r="F177" i="1" l="1"/>
  <c r="L177" i="1"/>
  <c r="H177" i="1"/>
  <c r="J177" i="1"/>
  <c r="I177" i="1"/>
  <c r="G177" i="1"/>
  <c r="E177" i="1"/>
  <c r="K177" i="1"/>
  <c r="D178" i="1" a="1"/>
  <c r="D178" i="1" l="1"/>
  <c r="J178" i="1" l="1"/>
  <c r="I178" i="1"/>
  <c r="H178" i="1"/>
  <c r="K178" i="1"/>
  <c r="E178" i="1"/>
  <c r="F178" i="1"/>
  <c r="G178" i="1"/>
  <c r="L178" i="1"/>
  <c r="D179" i="1" a="1"/>
  <c r="D179" i="1" l="1"/>
  <c r="F179" i="1" l="1"/>
  <c r="I179" i="1"/>
  <c r="H179" i="1"/>
  <c r="L179" i="1"/>
  <c r="E179" i="1"/>
  <c r="G179" i="1"/>
  <c r="K179" i="1"/>
  <c r="J179" i="1"/>
  <c r="D180" i="1" a="1"/>
  <c r="D180" i="1" l="1"/>
  <c r="F180" i="1" l="1"/>
  <c r="I180" i="1"/>
  <c r="J180" i="1"/>
  <c r="H180" i="1"/>
  <c r="E180" i="1"/>
  <c r="K180" i="1"/>
  <c r="L180" i="1"/>
  <c r="G180" i="1"/>
  <c r="D181" i="1" a="1"/>
  <c r="D181" i="1" l="1"/>
  <c r="G181" i="1" l="1"/>
  <c r="J181" i="1"/>
  <c r="K181" i="1"/>
  <c r="H181" i="1"/>
  <c r="I181" i="1"/>
  <c r="L181" i="1"/>
  <c r="F181" i="1"/>
  <c r="E181" i="1"/>
  <c r="D182" i="1" a="1"/>
  <c r="D182" i="1" l="1"/>
  <c r="L182" i="1" l="1"/>
  <c r="J182" i="1"/>
  <c r="I182" i="1"/>
  <c r="K182" i="1"/>
  <c r="F182" i="1"/>
  <c r="H182" i="1"/>
  <c r="G182" i="1"/>
  <c r="E182" i="1"/>
  <c r="D183" i="1" a="1"/>
  <c r="D183" i="1" l="1"/>
  <c r="F183" i="1" l="1"/>
  <c r="L183" i="1"/>
  <c r="E183" i="1"/>
  <c r="J183" i="1"/>
  <c r="H183" i="1"/>
  <c r="G183" i="1"/>
  <c r="K183" i="1"/>
  <c r="I183" i="1"/>
  <c r="D184" i="1" a="1"/>
  <c r="D184" i="1" l="1"/>
  <c r="H184" i="1" l="1"/>
  <c r="E184" i="1"/>
  <c r="L184" i="1"/>
  <c r="F184" i="1"/>
  <c r="I184" i="1"/>
  <c r="G184" i="1"/>
  <c r="J184" i="1"/>
  <c r="K184" i="1"/>
  <c r="D185" i="1" a="1"/>
  <c r="D185" i="1" l="1"/>
  <c r="J185" i="1" l="1"/>
  <c r="K185" i="1"/>
  <c r="I185" i="1"/>
  <c r="H185" i="1"/>
  <c r="E185" i="1"/>
  <c r="L185" i="1"/>
  <c r="G185" i="1"/>
  <c r="F185" i="1"/>
  <c r="D186" i="1" a="1"/>
  <c r="D186" i="1" l="1"/>
  <c r="F186" i="1" l="1"/>
  <c r="L186" i="1"/>
  <c r="H186" i="1"/>
  <c r="J186" i="1"/>
  <c r="E186" i="1"/>
  <c r="K186" i="1"/>
  <c r="G186" i="1"/>
  <c r="I186" i="1"/>
  <c r="D187" i="1" a="1"/>
  <c r="D187" i="1" l="1"/>
  <c r="E187" i="1" l="1"/>
  <c r="F187" i="1"/>
  <c r="K187" i="1"/>
  <c r="L187" i="1"/>
  <c r="J187" i="1"/>
  <c r="H187" i="1"/>
  <c r="G187" i="1"/>
  <c r="I187" i="1"/>
  <c r="D188" i="1" a="1"/>
  <c r="D188" i="1" l="1"/>
  <c r="E188" i="1" l="1"/>
  <c r="G188" i="1"/>
  <c r="L188" i="1"/>
  <c r="I188" i="1"/>
  <c r="J188" i="1"/>
  <c r="K188" i="1"/>
  <c r="F188" i="1"/>
  <c r="H188" i="1"/>
  <c r="D189" i="1" a="1"/>
  <c r="D189" i="1" l="1"/>
  <c r="J189" i="1" l="1"/>
  <c r="K189" i="1"/>
  <c r="I189" i="1"/>
  <c r="G189" i="1"/>
  <c r="L189" i="1"/>
  <c r="H189" i="1"/>
  <c r="F189" i="1"/>
  <c r="E189" i="1"/>
  <c r="D190" i="1" a="1"/>
  <c r="D190" i="1" l="1"/>
  <c r="E190" i="1" l="1"/>
  <c r="G190" i="1"/>
  <c r="K190" i="1"/>
  <c r="I190" i="1"/>
  <c r="L190" i="1"/>
  <c r="J190" i="1"/>
  <c r="H190" i="1"/>
  <c r="F190" i="1"/>
  <c r="D191" i="1" a="1"/>
  <c r="D191" i="1" l="1"/>
  <c r="F191" i="1" l="1"/>
  <c r="I191" i="1"/>
  <c r="J191" i="1"/>
  <c r="G191" i="1"/>
  <c r="L191" i="1"/>
  <c r="H191" i="1"/>
  <c r="K191" i="1"/>
  <c r="E191" i="1"/>
  <c r="D192" i="1" a="1"/>
  <c r="D192" i="1" l="1"/>
  <c r="I192" i="1" l="1"/>
  <c r="J192" i="1"/>
  <c r="F192" i="1"/>
  <c r="K192" i="1"/>
  <c r="E192" i="1"/>
  <c r="H192" i="1"/>
  <c r="G192" i="1"/>
  <c r="L192" i="1"/>
  <c r="D193" i="1" a="1"/>
  <c r="D193" i="1" l="1"/>
  <c r="L193" i="1" l="1"/>
  <c r="H193" i="1"/>
  <c r="E193" i="1"/>
  <c r="F193" i="1"/>
  <c r="K193" i="1"/>
  <c r="I193" i="1"/>
  <c r="J193" i="1"/>
  <c r="G193" i="1"/>
  <c r="D194" i="1" a="1"/>
  <c r="D194" i="1" l="1"/>
  <c r="E194" i="1" l="1"/>
  <c r="G194" i="1"/>
  <c r="K194" i="1"/>
  <c r="F194" i="1"/>
  <c r="J194" i="1"/>
  <c r="I194" i="1"/>
  <c r="L194" i="1"/>
  <c r="H194" i="1"/>
  <c r="D195" i="1" a="1"/>
  <c r="D195" i="1" l="1"/>
  <c r="J195" i="1" l="1"/>
  <c r="E195" i="1"/>
  <c r="K195" i="1"/>
  <c r="G195" i="1"/>
  <c r="H195" i="1"/>
  <c r="L195" i="1"/>
  <c r="I195" i="1"/>
  <c r="F195" i="1"/>
  <c r="D196" i="1" a="1"/>
  <c r="D196" i="1" l="1"/>
  <c r="F196" i="1" l="1"/>
  <c r="H196" i="1"/>
  <c r="I196" i="1"/>
  <c r="J196" i="1"/>
  <c r="G196" i="1"/>
  <c r="K196" i="1"/>
  <c r="L196" i="1"/>
  <c r="E196" i="1"/>
  <c r="D197" i="1" a="1"/>
  <c r="D197" i="1" l="1"/>
  <c r="E197" i="1" l="1"/>
  <c r="K197" i="1"/>
  <c r="L197" i="1"/>
  <c r="F197" i="1"/>
  <c r="G197" i="1"/>
  <c r="I197" i="1"/>
  <c r="H197" i="1"/>
  <c r="J197" i="1"/>
  <c r="D198" i="1" a="1"/>
  <c r="D198" i="1" l="1"/>
  <c r="K198" i="1" l="1"/>
  <c r="L198" i="1"/>
  <c r="F198" i="1"/>
  <c r="I198" i="1"/>
  <c r="G198" i="1"/>
  <c r="E198" i="1"/>
  <c r="H198" i="1"/>
  <c r="J198" i="1"/>
  <c r="D199" i="1" a="1"/>
  <c r="D199" i="1" l="1"/>
  <c r="K199" i="1" l="1"/>
  <c r="F199" i="1"/>
  <c r="J199" i="1"/>
  <c r="L199" i="1"/>
  <c r="E199" i="1"/>
  <c r="I199" i="1"/>
  <c r="G199" i="1"/>
  <c r="H199" i="1"/>
  <c r="D200" i="1" a="1"/>
  <c r="D200" i="1" l="1"/>
  <c r="G200" i="1" l="1"/>
  <c r="F200" i="1"/>
  <c r="E200" i="1"/>
  <c r="J200" i="1"/>
  <c r="I200" i="1"/>
  <c r="K200" i="1"/>
  <c r="H200" i="1"/>
  <c r="L200" i="1"/>
  <c r="D201" i="1" a="1"/>
  <c r="D201" i="1" l="1"/>
  <c r="L201" i="1" l="1"/>
  <c r="E201" i="1"/>
  <c r="F201" i="1"/>
  <c r="G201" i="1"/>
  <c r="K201" i="1"/>
  <c r="J201" i="1"/>
  <c r="I201" i="1"/>
  <c r="H201" i="1"/>
  <c r="D202" i="1" a="1"/>
  <c r="D202" i="1" l="1"/>
  <c r="K202" i="1" l="1"/>
  <c r="F202" i="1"/>
  <c r="H202" i="1"/>
  <c r="I202" i="1"/>
  <c r="J202" i="1"/>
  <c r="E202" i="1"/>
  <c r="G202" i="1"/>
  <c r="L202" i="1"/>
  <c r="D203" i="1" a="1"/>
  <c r="D203" i="1" l="1"/>
  <c r="E203" i="1" l="1"/>
  <c r="G203" i="1"/>
  <c r="L203" i="1"/>
  <c r="I203" i="1"/>
  <c r="J203" i="1"/>
  <c r="K203" i="1"/>
  <c r="F203" i="1"/>
  <c r="H203" i="1"/>
  <c r="D204" i="1" a="1"/>
  <c r="D204" i="1" l="1"/>
  <c r="E204" i="1" l="1"/>
  <c r="K204" i="1"/>
  <c r="F204" i="1"/>
  <c r="G204" i="1"/>
  <c r="H204" i="1"/>
  <c r="I204" i="1"/>
  <c r="J204" i="1"/>
  <c r="L204" i="1"/>
  <c r="D205" i="1" a="1"/>
  <c r="D205" i="1" l="1"/>
  <c r="I205" i="1" l="1"/>
  <c r="E205" i="1"/>
  <c r="H205" i="1"/>
  <c r="F205" i="1"/>
  <c r="L205" i="1"/>
  <c r="J205" i="1"/>
  <c r="K205" i="1"/>
  <c r="G205" i="1"/>
  <c r="D206" i="1" a="1"/>
  <c r="D206" i="1" l="1"/>
  <c r="H206" i="1" l="1"/>
  <c r="E206" i="1"/>
  <c r="J206" i="1"/>
  <c r="L206" i="1"/>
  <c r="F206" i="1"/>
  <c r="K206" i="1"/>
  <c r="G206" i="1"/>
  <c r="I206" i="1"/>
  <c r="D207" i="1" a="1"/>
  <c r="D207" i="1" l="1"/>
  <c r="J207" i="1" l="1"/>
  <c r="I207" i="1"/>
  <c r="L207" i="1"/>
  <c r="E207" i="1"/>
  <c r="H207" i="1"/>
  <c r="K207" i="1"/>
  <c r="G207" i="1"/>
  <c r="F207" i="1"/>
  <c r="D208" i="1" a="1"/>
  <c r="D208" i="1" l="1"/>
  <c r="J208" i="1" l="1"/>
  <c r="I208" i="1"/>
  <c r="F208" i="1"/>
  <c r="G208" i="1"/>
  <c r="K208" i="1"/>
  <c r="E208" i="1"/>
  <c r="L208" i="1"/>
  <c r="H208" i="1"/>
  <c r="D209" i="1" a="1"/>
  <c r="D209" i="1" l="1"/>
  <c r="J209" i="1" l="1"/>
  <c r="G209" i="1"/>
  <c r="L209" i="1"/>
  <c r="F209" i="1"/>
  <c r="E209" i="1"/>
  <c r="K209" i="1"/>
  <c r="I209" i="1"/>
  <c r="H209" i="1"/>
  <c r="D210" i="1" a="1"/>
  <c r="D210" i="1" l="1"/>
  <c r="H210" i="1" l="1"/>
  <c r="E210" i="1"/>
  <c r="K210" i="1"/>
  <c r="J210" i="1"/>
  <c r="L210" i="1"/>
  <c r="F210" i="1"/>
  <c r="G210" i="1"/>
  <c r="I210" i="1"/>
  <c r="D211" i="1" a="1"/>
  <c r="D211" i="1" l="1"/>
  <c r="J211" i="1" l="1"/>
  <c r="F211" i="1"/>
  <c r="L211" i="1"/>
  <c r="I211" i="1"/>
  <c r="G211" i="1"/>
  <c r="K211" i="1"/>
  <c r="H211" i="1"/>
  <c r="E211" i="1"/>
  <c r="D212" i="1" a="1"/>
  <c r="D212" i="1" l="1"/>
  <c r="F212" i="1" l="1"/>
  <c r="L212" i="1"/>
  <c r="J212" i="1"/>
  <c r="K212" i="1"/>
  <c r="H212" i="1"/>
  <c r="I212" i="1"/>
  <c r="G212" i="1"/>
  <c r="E212" i="1"/>
  <c r="D213" i="1" a="1"/>
  <c r="D213" i="1" l="1"/>
  <c r="J213" i="1" l="1"/>
  <c r="L213" i="1"/>
  <c r="G213" i="1"/>
  <c r="I213" i="1"/>
  <c r="F213" i="1"/>
  <c r="H213" i="1"/>
  <c r="K213" i="1"/>
  <c r="E213" i="1"/>
  <c r="D214" i="1" a="1"/>
  <c r="D214" i="1" l="1"/>
  <c r="G214" i="1" l="1"/>
  <c r="I214" i="1"/>
  <c r="L214" i="1"/>
  <c r="F214" i="1"/>
  <c r="K214" i="1"/>
  <c r="J214" i="1"/>
  <c r="H214" i="1"/>
  <c r="E214" i="1"/>
  <c r="D215" i="1" a="1"/>
  <c r="D215" i="1" l="1"/>
  <c r="H215" i="1" l="1"/>
  <c r="G215" i="1"/>
  <c r="L215" i="1"/>
  <c r="I215" i="1"/>
  <c r="F215" i="1"/>
  <c r="J215" i="1"/>
  <c r="E215" i="1"/>
  <c r="K215" i="1"/>
  <c r="D216" i="1" a="1"/>
  <c r="D216" i="1" l="1"/>
  <c r="G216" i="1" l="1"/>
  <c r="H216" i="1"/>
  <c r="I216" i="1"/>
  <c r="E216" i="1"/>
  <c r="J216" i="1"/>
  <c r="F216" i="1"/>
  <c r="L216" i="1"/>
  <c r="K216" i="1"/>
  <c r="D217" i="1" a="1"/>
  <c r="D217" i="1" l="1"/>
  <c r="F217" i="1" l="1"/>
  <c r="J217" i="1"/>
  <c r="L217" i="1"/>
  <c r="I217" i="1"/>
  <c r="G217" i="1"/>
  <c r="H217" i="1"/>
  <c r="K217" i="1"/>
  <c r="E217" i="1"/>
  <c r="D218" i="1" a="1"/>
  <c r="D218" i="1" l="1"/>
  <c r="H218" i="1" l="1"/>
  <c r="J218" i="1"/>
  <c r="G218" i="1"/>
  <c r="K218" i="1"/>
  <c r="I218" i="1"/>
  <c r="F218" i="1"/>
  <c r="L218" i="1"/>
  <c r="E218" i="1"/>
  <c r="D219" i="1" a="1"/>
  <c r="D219" i="1" l="1"/>
  <c r="G219" i="1" l="1"/>
  <c r="H219" i="1"/>
  <c r="E219" i="1"/>
  <c r="I219" i="1"/>
  <c r="F219" i="1"/>
  <c r="J219" i="1"/>
  <c r="L219" i="1"/>
  <c r="K219" i="1"/>
  <c r="D220" i="1" a="1"/>
  <c r="D220" i="1" l="1"/>
  <c r="G220" i="1" l="1"/>
  <c r="I220" i="1"/>
  <c r="E220" i="1"/>
  <c r="L220" i="1"/>
  <c r="K220" i="1"/>
  <c r="J220" i="1"/>
  <c r="F220" i="1"/>
  <c r="H220" i="1"/>
  <c r="D221" i="1" a="1"/>
  <c r="D221" i="1" l="1"/>
  <c r="F221" i="1" l="1"/>
  <c r="G221" i="1"/>
  <c r="H221" i="1"/>
  <c r="K221" i="1"/>
  <c r="I221" i="1"/>
  <c r="L221" i="1"/>
  <c r="J221" i="1"/>
  <c r="E221" i="1"/>
  <c r="D222" i="1" a="1"/>
  <c r="D222" i="1" l="1"/>
  <c r="H222" i="1" l="1"/>
  <c r="L222" i="1"/>
  <c r="G222" i="1"/>
  <c r="I222" i="1"/>
  <c r="J222" i="1"/>
  <c r="F222" i="1"/>
  <c r="K222" i="1"/>
  <c r="E222" i="1"/>
  <c r="D223" i="1" a="1"/>
  <c r="D223" i="1" l="1"/>
  <c r="F223" i="1" l="1"/>
  <c r="I223" i="1"/>
  <c r="L223" i="1"/>
  <c r="G223" i="1"/>
  <c r="H223" i="1"/>
  <c r="E223" i="1"/>
  <c r="J223" i="1"/>
  <c r="K223" i="1"/>
  <c r="D224" i="1" a="1"/>
  <c r="D224" i="1" l="1"/>
  <c r="J224" i="1" l="1"/>
  <c r="L224" i="1"/>
  <c r="G224" i="1"/>
  <c r="H224" i="1"/>
  <c r="E224" i="1"/>
  <c r="I224" i="1"/>
  <c r="F224" i="1"/>
  <c r="K224" i="1"/>
  <c r="D225" i="1" a="1"/>
  <c r="D225" i="1" l="1"/>
  <c r="J225" i="1" l="1"/>
  <c r="I225" i="1"/>
  <c r="H225" i="1"/>
  <c r="G225" i="1"/>
  <c r="E225" i="1"/>
  <c r="L225" i="1"/>
  <c r="K225" i="1"/>
  <c r="F225" i="1"/>
  <c r="D226" i="1" a="1"/>
  <c r="D226" i="1" l="1"/>
  <c r="F226" i="1" l="1"/>
  <c r="L226" i="1"/>
  <c r="J226" i="1"/>
  <c r="E226" i="1"/>
  <c r="G226" i="1"/>
  <c r="H226" i="1"/>
  <c r="K226" i="1"/>
  <c r="I226" i="1"/>
  <c r="D227" i="1" a="1"/>
  <c r="D227" i="1" l="1"/>
  <c r="L227" i="1" l="1"/>
  <c r="I227" i="1"/>
  <c r="E227" i="1"/>
  <c r="F227" i="1"/>
  <c r="K227" i="1"/>
  <c r="G227" i="1"/>
  <c r="H227" i="1"/>
  <c r="J227" i="1"/>
  <c r="D228" i="1" a="1"/>
  <c r="D228" i="1" l="1"/>
  <c r="E228" i="1" l="1"/>
  <c r="G228" i="1"/>
  <c r="K228" i="1"/>
  <c r="F228" i="1"/>
  <c r="J228" i="1"/>
  <c r="H228" i="1"/>
  <c r="L228" i="1"/>
  <c r="I228" i="1"/>
  <c r="D229" i="1" a="1"/>
  <c r="D229" i="1" l="1"/>
  <c r="K229" i="1" l="1"/>
  <c r="E229" i="1"/>
  <c r="G229" i="1"/>
  <c r="H229" i="1"/>
  <c r="J229" i="1"/>
  <c r="L229" i="1"/>
  <c r="F229" i="1"/>
  <c r="I229" i="1"/>
  <c r="D230" i="1" a="1"/>
  <c r="D230" i="1" l="1"/>
  <c r="J230" i="1" l="1"/>
  <c r="G230" i="1"/>
  <c r="H230" i="1"/>
  <c r="I230" i="1"/>
  <c r="L230" i="1"/>
  <c r="F230" i="1"/>
  <c r="K230" i="1"/>
  <c r="E230" i="1"/>
  <c r="D231" i="1" a="1"/>
  <c r="D231" i="1" l="1"/>
  <c r="G231" i="1" l="1"/>
  <c r="K231" i="1"/>
  <c r="L231" i="1"/>
  <c r="H231" i="1"/>
  <c r="J231" i="1"/>
  <c r="I231" i="1"/>
  <c r="F231" i="1"/>
  <c r="E231" i="1"/>
  <c r="D232" i="1" a="1"/>
  <c r="D232" i="1" l="1"/>
  <c r="E232" i="1" l="1"/>
  <c r="G232" i="1"/>
  <c r="J232" i="1"/>
  <c r="L232" i="1"/>
  <c r="H232" i="1"/>
  <c r="I232" i="1"/>
  <c r="F232" i="1"/>
  <c r="K232" i="1"/>
  <c r="D233" i="1" a="1"/>
  <c r="D233" i="1" l="1"/>
  <c r="F233" i="1" l="1"/>
  <c r="I233" i="1"/>
  <c r="L233" i="1"/>
  <c r="K233" i="1"/>
  <c r="E233" i="1"/>
  <c r="J233" i="1"/>
  <c r="H233" i="1"/>
  <c r="G233" i="1"/>
  <c r="D234" i="1" a="1"/>
  <c r="D234" i="1" l="1"/>
  <c r="L234" i="1" l="1"/>
  <c r="E234" i="1"/>
  <c r="K234" i="1"/>
  <c r="G234" i="1"/>
  <c r="F234" i="1"/>
  <c r="J234" i="1"/>
  <c r="H234" i="1"/>
  <c r="I234" i="1"/>
  <c r="D235" i="1" a="1"/>
  <c r="D235" i="1" l="1"/>
  <c r="F235" i="1" l="1"/>
  <c r="G235" i="1"/>
  <c r="I235" i="1"/>
  <c r="E235" i="1"/>
  <c r="L235" i="1"/>
  <c r="K235" i="1"/>
  <c r="H235" i="1"/>
  <c r="J235" i="1"/>
  <c r="D236" i="1" a="1"/>
  <c r="D236" i="1" l="1"/>
  <c r="H236" i="1" l="1"/>
  <c r="L236" i="1"/>
  <c r="K236" i="1"/>
  <c r="J236" i="1"/>
  <c r="F236" i="1"/>
  <c r="I236" i="1"/>
  <c r="G236" i="1"/>
  <c r="E236" i="1"/>
  <c r="D237" i="1" a="1"/>
  <c r="D237" i="1" l="1"/>
  <c r="J237" i="1" l="1"/>
  <c r="G237" i="1"/>
  <c r="E237" i="1"/>
  <c r="K237" i="1"/>
  <c r="L237" i="1"/>
  <c r="F237" i="1"/>
  <c r="I237" i="1"/>
  <c r="H237" i="1"/>
  <c r="D238" i="1" a="1"/>
  <c r="D238" i="1" l="1"/>
  <c r="E238" i="1" l="1"/>
  <c r="G238" i="1"/>
  <c r="H238" i="1"/>
  <c r="J238" i="1"/>
  <c r="F238" i="1"/>
  <c r="L238" i="1"/>
  <c r="K238" i="1"/>
  <c r="I238" i="1"/>
  <c r="D239" i="1" a="1"/>
  <c r="D239" i="1" l="1"/>
  <c r="H239" i="1" l="1"/>
  <c r="F239" i="1"/>
  <c r="G239" i="1"/>
  <c r="J239" i="1"/>
  <c r="E239" i="1"/>
  <c r="I239" i="1"/>
  <c r="L239" i="1"/>
  <c r="K239" i="1"/>
  <c r="D240" i="1" a="1"/>
  <c r="D240" i="1" l="1"/>
  <c r="I240" i="1" l="1"/>
  <c r="K240" i="1"/>
  <c r="E240" i="1"/>
  <c r="G240" i="1"/>
  <c r="H240" i="1"/>
  <c r="L240" i="1"/>
  <c r="J240" i="1"/>
  <c r="F240" i="1"/>
  <c r="D241" i="1" a="1"/>
  <c r="D241" i="1" l="1"/>
  <c r="L241" i="1" l="1"/>
  <c r="E241" i="1"/>
  <c r="K241" i="1"/>
  <c r="F241" i="1"/>
  <c r="H241" i="1"/>
  <c r="I241" i="1"/>
  <c r="J241" i="1"/>
  <c r="G241" i="1"/>
  <c r="D242" i="1" a="1"/>
  <c r="D242" i="1" l="1"/>
  <c r="I242" i="1" l="1"/>
  <c r="K242" i="1"/>
  <c r="H242" i="1"/>
  <c r="J242" i="1"/>
  <c r="E242" i="1"/>
  <c r="F242" i="1"/>
  <c r="L242" i="1"/>
  <c r="G242" i="1"/>
  <c r="D243" i="1" a="1"/>
  <c r="D243" i="1" l="1"/>
  <c r="L243" i="1" l="1"/>
  <c r="I243" i="1"/>
  <c r="J243" i="1"/>
  <c r="G243" i="1"/>
  <c r="H243" i="1"/>
  <c r="F243" i="1"/>
  <c r="E243" i="1"/>
  <c r="K243" i="1"/>
  <c r="D244" i="1" a="1"/>
  <c r="D244" i="1" l="1"/>
  <c r="E244" i="1" l="1"/>
  <c r="J244" i="1"/>
  <c r="H244" i="1"/>
  <c r="K244" i="1"/>
  <c r="F244" i="1"/>
  <c r="I244" i="1"/>
  <c r="G244" i="1"/>
  <c r="L244" i="1"/>
  <c r="D245" i="1" a="1"/>
  <c r="D245" i="1" l="1"/>
  <c r="K245" i="1" l="1"/>
  <c r="G245" i="1"/>
  <c r="F245" i="1"/>
  <c r="J245" i="1"/>
  <c r="I245" i="1"/>
  <c r="H245" i="1"/>
  <c r="E245" i="1"/>
  <c r="L245" i="1"/>
  <c r="D246" i="1" a="1"/>
  <c r="D246" i="1" l="1"/>
  <c r="H246" i="1" l="1"/>
  <c r="K246" i="1"/>
  <c r="F246" i="1"/>
  <c r="J246" i="1"/>
  <c r="I246" i="1"/>
  <c r="L246" i="1"/>
  <c r="E246" i="1"/>
  <c r="G246" i="1"/>
  <c r="D247" i="1" a="1"/>
  <c r="D247" i="1" l="1"/>
  <c r="K247" i="1" l="1"/>
  <c r="F247" i="1"/>
  <c r="E247" i="1"/>
  <c r="H247" i="1"/>
  <c r="L247" i="1"/>
  <c r="G247" i="1"/>
  <c r="J247" i="1"/>
  <c r="I247" i="1"/>
  <c r="D248" i="1" a="1"/>
  <c r="D248" i="1" l="1"/>
  <c r="G248" i="1" l="1"/>
  <c r="K248" i="1"/>
  <c r="H248" i="1"/>
  <c r="I248" i="1"/>
  <c r="J248" i="1"/>
  <c r="E248" i="1"/>
  <c r="L248" i="1"/>
  <c r="F248" i="1"/>
  <c r="D249" i="1" a="1"/>
  <c r="D249" i="1" l="1"/>
  <c r="L249" i="1" l="1"/>
  <c r="F249" i="1"/>
  <c r="K249" i="1"/>
  <c r="G249" i="1"/>
  <c r="J249" i="1"/>
  <c r="E249" i="1"/>
  <c r="I249" i="1"/>
  <c r="H249" i="1"/>
  <c r="D250" i="1" a="1"/>
  <c r="D250" i="1" l="1"/>
  <c r="F250" i="1" l="1"/>
  <c r="K250" i="1"/>
  <c r="E250" i="1"/>
  <c r="J250" i="1"/>
  <c r="I250" i="1"/>
  <c r="H250" i="1"/>
  <c r="L250" i="1"/>
  <c r="G250" i="1"/>
  <c r="D251" i="1" a="1"/>
  <c r="D251" i="1" l="1"/>
  <c r="K251" i="1" l="1"/>
  <c r="L251" i="1"/>
  <c r="E251" i="1"/>
  <c r="F251" i="1"/>
  <c r="J251" i="1"/>
  <c r="I251" i="1"/>
  <c r="H251" i="1"/>
  <c r="G251" i="1"/>
  <c r="D252" i="1" a="1"/>
  <c r="D252" i="1" l="1"/>
  <c r="G252" i="1" l="1"/>
  <c r="I252" i="1"/>
  <c r="K252" i="1"/>
  <c r="L252" i="1"/>
  <c r="E252" i="1"/>
  <c r="F252" i="1"/>
  <c r="J252" i="1"/>
  <c r="H252" i="1"/>
  <c r="D253" i="1" a="1"/>
  <c r="D253" i="1" l="1"/>
  <c r="G253" i="1" l="1"/>
  <c r="H253" i="1"/>
  <c r="K253" i="1"/>
  <c r="J253" i="1"/>
  <c r="L253" i="1"/>
  <c r="E253" i="1"/>
  <c r="I253" i="1"/>
  <c r="F253" i="1"/>
  <c r="D254" i="1" a="1"/>
  <c r="D254" i="1" l="1"/>
  <c r="L254" i="1" l="1"/>
  <c r="F254" i="1"/>
  <c r="H254" i="1"/>
  <c r="I254" i="1"/>
  <c r="J254" i="1"/>
  <c r="G254" i="1"/>
  <c r="K254" i="1"/>
  <c r="E254" i="1"/>
  <c r="D255" i="1" a="1"/>
  <c r="D255" i="1" l="1"/>
  <c r="G255" i="1" l="1"/>
  <c r="J255" i="1"/>
  <c r="E255" i="1"/>
  <c r="H255" i="1"/>
  <c r="L255" i="1"/>
  <c r="F255" i="1"/>
  <c r="I255" i="1"/>
  <c r="K255" i="1"/>
  <c r="D256" i="1" a="1"/>
  <c r="D256" i="1" l="1"/>
  <c r="J256" i="1" l="1"/>
  <c r="L256" i="1"/>
  <c r="E256" i="1"/>
  <c r="K256" i="1"/>
  <c r="I256" i="1"/>
  <c r="H256" i="1"/>
  <c r="G256" i="1"/>
  <c r="F256" i="1"/>
  <c r="D257" i="1" a="1"/>
  <c r="D257" i="1" l="1"/>
  <c r="G257" i="1" l="1"/>
  <c r="I257" i="1"/>
  <c r="L257" i="1"/>
  <c r="E257" i="1"/>
  <c r="H257" i="1"/>
  <c r="F257" i="1"/>
  <c r="K257" i="1"/>
  <c r="J257" i="1"/>
  <c r="D258" i="1" a="1"/>
  <c r="D258" i="1" l="1"/>
  <c r="J258" i="1" l="1"/>
  <c r="H258" i="1"/>
  <c r="E258" i="1"/>
  <c r="G258" i="1"/>
  <c r="I258" i="1"/>
  <c r="L258" i="1"/>
  <c r="K258" i="1"/>
  <c r="F258" i="1"/>
  <c r="D259" i="1" a="1"/>
  <c r="D259" i="1" l="1"/>
  <c r="G259" i="1" l="1"/>
  <c r="E259" i="1"/>
  <c r="K259" i="1"/>
  <c r="J259" i="1"/>
  <c r="L259" i="1"/>
  <c r="F259" i="1"/>
  <c r="H259" i="1"/>
  <c r="I259" i="1"/>
  <c r="D260" i="1" a="1"/>
  <c r="D260" i="1" l="1"/>
  <c r="J260" i="1" l="1"/>
  <c r="H260" i="1"/>
  <c r="F260" i="1"/>
  <c r="L260" i="1"/>
  <c r="G260" i="1"/>
  <c r="E260" i="1"/>
  <c r="I260" i="1"/>
  <c r="K260" i="1"/>
  <c r="D261" i="1" a="1"/>
  <c r="D261" i="1" l="1"/>
  <c r="J261" i="1" l="1"/>
  <c r="E261" i="1"/>
  <c r="L261" i="1"/>
  <c r="K261" i="1"/>
  <c r="G261" i="1"/>
  <c r="F261" i="1"/>
  <c r="I261" i="1"/>
  <c r="H261" i="1"/>
  <c r="D262" i="1" a="1"/>
  <c r="D262" i="1" l="1"/>
  <c r="E262" i="1" l="1"/>
  <c r="J262" i="1"/>
  <c r="L262" i="1"/>
  <c r="K262" i="1"/>
  <c r="H262" i="1"/>
  <c r="F262" i="1"/>
  <c r="I262" i="1"/>
  <c r="G262" i="1"/>
  <c r="D263" i="1" a="1"/>
  <c r="D263" i="1" l="1"/>
  <c r="J263" i="1" l="1"/>
  <c r="I263" i="1"/>
  <c r="F263" i="1"/>
  <c r="E263" i="1"/>
  <c r="K263" i="1"/>
  <c r="H263" i="1"/>
  <c r="G263" i="1"/>
  <c r="L263" i="1"/>
  <c r="D264" i="1" a="1"/>
  <c r="D264" i="1" l="1"/>
  <c r="L264" i="1" l="1"/>
  <c r="F264" i="1"/>
  <c r="J264" i="1"/>
  <c r="E264" i="1"/>
  <c r="K264" i="1"/>
  <c r="I264" i="1"/>
  <c r="H264" i="1"/>
  <c r="G264" i="1"/>
  <c r="D265" i="1" a="1"/>
  <c r="D265" i="1" l="1"/>
  <c r="F265" i="1" l="1"/>
  <c r="K265" i="1"/>
  <c r="G265" i="1"/>
  <c r="J265" i="1"/>
  <c r="E265" i="1"/>
  <c r="H265" i="1"/>
  <c r="L265" i="1"/>
  <c r="I265" i="1"/>
  <c r="D266" i="1" a="1"/>
  <c r="D266" i="1" l="1"/>
  <c r="L266" i="1" l="1"/>
  <c r="F266" i="1"/>
  <c r="E266" i="1"/>
  <c r="J266" i="1"/>
  <c r="G266" i="1"/>
  <c r="H266" i="1"/>
  <c r="K266" i="1"/>
  <c r="I266" i="1"/>
  <c r="D267" i="1" a="1"/>
  <c r="D267" i="1" l="1"/>
  <c r="G267" i="1" l="1"/>
  <c r="K267" i="1"/>
  <c r="E267" i="1"/>
  <c r="F267" i="1"/>
  <c r="L267" i="1"/>
  <c r="H267" i="1"/>
  <c r="I267" i="1"/>
  <c r="J267" i="1"/>
  <c r="D268" i="1" a="1"/>
  <c r="D268" i="1" l="1"/>
  <c r="E268" i="1" l="1"/>
  <c r="G268" i="1"/>
  <c r="I268" i="1"/>
  <c r="F268" i="1"/>
  <c r="L268" i="1"/>
  <c r="J268" i="1"/>
  <c r="K268" i="1"/>
  <c r="H268" i="1"/>
  <c r="D269" i="1" a="1"/>
  <c r="D269" i="1" l="1"/>
  <c r="I269" i="1" l="1"/>
  <c r="G269" i="1"/>
  <c r="J269" i="1"/>
  <c r="L269" i="1"/>
  <c r="K269" i="1"/>
  <c r="H269" i="1"/>
  <c r="F269" i="1"/>
  <c r="E269" i="1"/>
  <c r="D270" i="1" a="1"/>
  <c r="D270" i="1" l="1"/>
  <c r="J270" i="1" l="1"/>
  <c r="L270" i="1"/>
  <c r="G270" i="1"/>
  <c r="E270" i="1"/>
  <c r="F270" i="1"/>
  <c r="I270" i="1"/>
  <c r="K270" i="1"/>
  <c r="H270" i="1"/>
  <c r="D271" i="1" a="1"/>
  <c r="D271" i="1" l="1"/>
  <c r="F271" i="1" l="1"/>
  <c r="G271" i="1"/>
  <c r="J271" i="1"/>
  <c r="L271" i="1"/>
  <c r="K271" i="1"/>
  <c r="H271" i="1"/>
  <c r="I271" i="1"/>
  <c r="E271" i="1"/>
  <c r="D272" i="1" a="1"/>
  <c r="D272" i="1" l="1"/>
  <c r="E272" i="1" l="1"/>
  <c r="H272" i="1"/>
  <c r="F272" i="1"/>
  <c r="L272" i="1"/>
  <c r="G272" i="1"/>
  <c r="K272" i="1"/>
  <c r="I272" i="1"/>
  <c r="J272" i="1"/>
  <c r="D273" i="1" a="1"/>
  <c r="D273" i="1" l="1"/>
  <c r="E273" i="1" l="1"/>
  <c r="K273" i="1"/>
  <c r="I273" i="1"/>
  <c r="H273" i="1"/>
  <c r="G273" i="1"/>
  <c r="L273" i="1"/>
  <c r="J273" i="1"/>
  <c r="F273" i="1"/>
  <c r="D274" i="1" a="1"/>
  <c r="D274" i="1" l="1"/>
  <c r="BA10" i="1" l="1" a="1"/>
  <c r="BA10" i="1" s="1"/>
  <c r="BB10" i="1" s="1"/>
  <c r="BC10" i="1" a="1"/>
  <c r="BC10" i="1" s="1"/>
  <c r="BD10" i="1" s="1"/>
  <c r="AW10" i="1" a="1"/>
  <c r="AW10" i="1" s="1"/>
  <c r="AX10" i="1" s="1"/>
  <c r="AY10" i="1" a="1"/>
  <c r="AY10" i="1" s="1"/>
  <c r="AZ10" i="1" s="1"/>
  <c r="AS10" i="1" a="1"/>
  <c r="AS10" i="1" s="1"/>
  <c r="AT10" i="1" s="1"/>
  <c r="AU10" i="1" a="1"/>
  <c r="AU10" i="1" s="1"/>
  <c r="AV10" i="1" s="1"/>
  <c r="AO10" i="1" a="1"/>
  <c r="AO10" i="1" s="1"/>
  <c r="AP10" i="1" s="1"/>
  <c r="AQ10" i="1" a="1"/>
  <c r="AQ10" i="1" s="1"/>
  <c r="AR10" i="1" s="1"/>
  <c r="AK10" i="1" a="1"/>
  <c r="AM10" i="1" a="1"/>
  <c r="AG10" i="1" a="1"/>
  <c r="AI10" i="1" a="1"/>
  <c r="AC10" i="1" a="1"/>
  <c r="AE10" i="1" a="1"/>
  <c r="Y10" i="1" a="1"/>
  <c r="AA10" i="1" a="1"/>
  <c r="K274" i="1"/>
  <c r="H274" i="1"/>
  <c r="I274" i="1"/>
  <c r="G274" i="1"/>
  <c r="J274" i="1"/>
  <c r="L274" i="1"/>
  <c r="E274" i="1"/>
  <c r="F274" i="1"/>
  <c r="AJ18" i="1" l="1"/>
  <c r="AJ17" i="1"/>
  <c r="AJ16" i="1"/>
  <c r="AJ19" i="1"/>
  <c r="AH18" i="1"/>
  <c r="AH16" i="1"/>
  <c r="AH19" i="1"/>
  <c r="AH17" i="1"/>
  <c r="AN19" i="1"/>
  <c r="AN18" i="1"/>
  <c r="AN17" i="1"/>
  <c r="AN16" i="1"/>
  <c r="AL16" i="1"/>
  <c r="AL17" i="1"/>
  <c r="AL19" i="1"/>
  <c r="AL18" i="1"/>
  <c r="AB18" i="1"/>
  <c r="AB17" i="1"/>
  <c r="AB16" i="1"/>
  <c r="AB19" i="1"/>
  <c r="Z17" i="1"/>
  <c r="Z19" i="1"/>
  <c r="Z18" i="1"/>
  <c r="Z16" i="1"/>
  <c r="AF19" i="1"/>
  <c r="AF16" i="1"/>
  <c r="AF18" i="1"/>
  <c r="AF17" i="1"/>
  <c r="AD19" i="1"/>
  <c r="AD18" i="1"/>
  <c r="AD17" i="1"/>
  <c r="AD16" i="1"/>
  <c r="AN11" i="1"/>
  <c r="AN15" i="1"/>
  <c r="AN13" i="1"/>
  <c r="AN14" i="1"/>
  <c r="AN12" i="1"/>
  <c r="AL15" i="1"/>
  <c r="AL14" i="1"/>
  <c r="AL13" i="1"/>
  <c r="AL12" i="1"/>
  <c r="AL11" i="1"/>
  <c r="AJ15" i="1"/>
  <c r="AJ14" i="1"/>
  <c r="AJ13" i="1"/>
  <c r="AJ12" i="1"/>
  <c r="AJ11" i="1"/>
  <c r="AH15" i="1"/>
  <c r="AH14" i="1"/>
  <c r="AH13" i="1"/>
  <c r="AH12" i="1"/>
  <c r="AH11" i="1"/>
  <c r="AF15" i="1"/>
  <c r="AF14" i="1"/>
  <c r="AF13" i="1"/>
  <c r="AF12" i="1"/>
  <c r="AF11" i="1"/>
  <c r="AD15" i="1"/>
  <c r="AD14" i="1"/>
  <c r="AD13" i="1"/>
  <c r="AD12" i="1"/>
  <c r="AD11" i="1"/>
  <c r="AB15" i="1"/>
  <c r="AB14" i="1"/>
  <c r="AB13" i="1"/>
  <c r="AB12" i="1"/>
  <c r="AB11" i="1"/>
  <c r="Z11" i="1"/>
  <c r="Z12" i="1"/>
  <c r="Z13" i="1"/>
  <c r="Z14" i="1"/>
  <c r="Z15" i="1"/>
  <c r="Y10" i="1"/>
  <c r="Z10" i="1" s="1"/>
  <c r="BD21" i="1"/>
  <c r="BB21" i="1"/>
  <c r="AZ21" i="1"/>
  <c r="AX21" i="1"/>
  <c r="AV21" i="1"/>
  <c r="AT21" i="1"/>
  <c r="AR21" i="1"/>
  <c r="AP21" i="1"/>
  <c r="AK10" i="1"/>
  <c r="AL10" i="1" s="1"/>
  <c r="AG10" i="1"/>
  <c r="AH10" i="1" s="1"/>
  <c r="AE10" i="1"/>
  <c r="AF10" i="1" s="1"/>
  <c r="AC10" i="1"/>
  <c r="AD10" i="1" s="1"/>
  <c r="AM10" i="1"/>
  <c r="AN10" i="1" s="1"/>
  <c r="AI10" i="1"/>
  <c r="AJ10" i="1" s="1"/>
  <c r="AA10" i="1"/>
  <c r="AB10" i="1" s="1"/>
  <c r="AK21" i="1" l="1"/>
  <c r="AL21" i="1"/>
  <c r="AN21" i="1"/>
  <c r="AH21" i="1"/>
  <c r="AJ21" i="1"/>
  <c r="AD21" i="1"/>
  <c r="AF21" i="1"/>
  <c r="Z21" i="1"/>
  <c r="AB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<sst xmlns="http://schemas.openxmlformats.org/spreadsheetml/2006/main" count="187" uniqueCount="161">
  <si>
    <t>Numbers</t>
  </si>
  <si>
    <t>Country</t>
  </si>
  <si>
    <t>Netherlands</t>
  </si>
  <si>
    <t>Great Britain</t>
  </si>
  <si>
    <t>Australia</t>
  </si>
  <si>
    <t>Japan</t>
  </si>
  <si>
    <t>Italy</t>
  </si>
  <si>
    <t>Germany</t>
  </si>
  <si>
    <t>South Korea</t>
  </si>
  <si>
    <t>Hungary</t>
  </si>
  <si>
    <t>Brazil</t>
  </si>
  <si>
    <t>Canada</t>
  </si>
  <si>
    <t>Cuba</t>
  </si>
  <si>
    <t>Sweden</t>
  </si>
  <si>
    <t>Poland</t>
  </si>
  <si>
    <t>Serbia</t>
  </si>
  <si>
    <t>Jamaica</t>
  </si>
  <si>
    <t>Spain</t>
  </si>
  <si>
    <t>Denmark</t>
  </si>
  <si>
    <t>Kenya</t>
  </si>
  <si>
    <t>New Zealand</t>
  </si>
  <si>
    <t>Iran</t>
  </si>
  <si>
    <t>Turkey</t>
  </si>
  <si>
    <t>Czech Republic</t>
  </si>
  <si>
    <t>Croatia</t>
  </si>
  <si>
    <t>Uzbekistan</t>
  </si>
  <si>
    <t>Belgium</t>
  </si>
  <si>
    <t>Georgia</t>
  </si>
  <si>
    <t>Switzerland</t>
  </si>
  <si>
    <t>Norway</t>
  </si>
  <si>
    <t>Ukraine</t>
  </si>
  <si>
    <t>Slovenia</t>
  </si>
  <si>
    <t>Ethiopia</t>
  </si>
  <si>
    <t>Ireland</t>
  </si>
  <si>
    <t>Romania</t>
  </si>
  <si>
    <t>Kazakhstan</t>
  </si>
  <si>
    <t>Greece</t>
  </si>
  <si>
    <t>South Africa</t>
  </si>
  <si>
    <t>Bulgaria</t>
  </si>
  <si>
    <t>Chinese Taipei</t>
  </si>
  <si>
    <t>Bahamas</t>
  </si>
  <si>
    <t>Belarus</t>
  </si>
  <si>
    <t>Kosovo</t>
  </si>
  <si>
    <t>Slovakia</t>
  </si>
  <si>
    <t>Uganda</t>
  </si>
  <si>
    <t>Thailand</t>
  </si>
  <si>
    <t>Argentina</t>
  </si>
  <si>
    <t>Ecuador</t>
  </si>
  <si>
    <t>Israel</t>
  </si>
  <si>
    <t>Qatar</t>
  </si>
  <si>
    <t>Tunisia</t>
  </si>
  <si>
    <t>Colombia</t>
  </si>
  <si>
    <t>Indonesia</t>
  </si>
  <si>
    <t>Fiji</t>
  </si>
  <si>
    <t>Latvia</t>
  </si>
  <si>
    <t>Puerto Rico</t>
  </si>
  <si>
    <t>Venezuela</t>
  </si>
  <si>
    <t>Azerbaijan</t>
  </si>
  <si>
    <t>India</t>
  </si>
  <si>
    <t>Portugal</t>
  </si>
  <si>
    <t>Estonia</t>
  </si>
  <si>
    <t>Hong Kong</t>
  </si>
  <si>
    <t>Philippines</t>
  </si>
  <si>
    <t>Austria</t>
  </si>
  <si>
    <t>Egypt</t>
  </si>
  <si>
    <t>Bermuda</t>
  </si>
  <si>
    <t>Morocco</t>
  </si>
  <si>
    <t>Bahrain</t>
  </si>
  <si>
    <t>Lithuania</t>
  </si>
  <si>
    <t>Mexico</t>
  </si>
  <si>
    <t>Dominican Republic</t>
  </si>
  <si>
    <t>Armenia</t>
  </si>
  <si>
    <t>Jordan</t>
  </si>
  <si>
    <t>Ivory Coast</t>
  </si>
  <si>
    <t>Mongolia</t>
  </si>
  <si>
    <t>Grenada</t>
  </si>
  <si>
    <t>Finland</t>
  </si>
  <si>
    <t>AIN</t>
  </si>
  <si>
    <t>Kyrgyzstan</t>
  </si>
  <si>
    <t>San Marino</t>
  </si>
  <si>
    <t>Malaysia</t>
  </si>
  <si>
    <t>Nigeria</t>
  </si>
  <si>
    <t>Namibia</t>
  </si>
  <si>
    <t>Saudi Arabia</t>
  </si>
  <si>
    <t>Turkmenistan</t>
  </si>
  <si>
    <t>Botswana</t>
  </si>
  <si>
    <t>Burkina Faso</t>
  </si>
  <si>
    <t>Ghana</t>
  </si>
  <si>
    <t>Kuwait</t>
  </si>
  <si>
    <t>Moldova</t>
  </si>
  <si>
    <t>Syria</t>
  </si>
  <si>
    <t>No.</t>
  </si>
  <si>
    <t>Countries Per Team</t>
  </si>
  <si>
    <t>Teams</t>
  </si>
  <si>
    <t>Total Countries</t>
  </si>
  <si>
    <t>Country Average</t>
  </si>
  <si>
    <t>Team Total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</si>
  <si>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</si>
  <si>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</si>
  <si>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</si>
  <si>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</si>
  <si>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</si>
  <si>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</si>
  <si>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</si>
  <si>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</si>
  <si>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</si>
  <si>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</si>
  <si>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</si>
  <si>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</si>
  <si>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</si>
  <si>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</si>
  <si>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</si>
  <si>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</si>
  <si>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</si>
  <si>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-</t>
  </si>
  <si>
    <t>Initial</t>
  </si>
  <si>
    <t>Refine</t>
  </si>
  <si>
    <t xml:space="preserve"> </t>
  </si>
  <si>
    <t>Team</t>
  </si>
  <si>
    <t>Lowest Team</t>
  </si>
  <si>
    <t>Highest Team</t>
  </si>
  <si>
    <t>Lowest Score</t>
  </si>
  <si>
    <t>Highest Score</t>
  </si>
  <si>
    <t>Difference</t>
  </si>
  <si>
    <t>Target Country Difference</t>
  </si>
  <si>
    <t>Closest Difference To Target</t>
  </si>
  <si>
    <t>High Team Country Score</t>
  </si>
  <si>
    <t>Low Team Country Score</t>
  </si>
  <si>
    <t>High County</t>
  </si>
  <si>
    <t>Low Country</t>
  </si>
  <si>
    <t>Zero</t>
  </si>
  <si>
    <t>High</t>
  </si>
  <si>
    <t>Low</t>
  </si>
  <si>
    <t>Col</t>
  </si>
  <si>
    <t>Row</t>
  </si>
  <si>
    <t>Copy Test</t>
  </si>
  <si>
    <t>Figure</t>
  </si>
  <si>
    <t>Note</t>
  </si>
  <si>
    <t>Between 1 &amp; 10</t>
  </si>
  <si>
    <t>Between 1 &amp; 16</t>
  </si>
  <si>
    <t>Check If Done</t>
  </si>
  <si>
    <t>Team Total Average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</si>
  <si>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</si>
  <si>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</si>
  <si>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</si>
  <si>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</si>
  <si>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</si>
  <si>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</si>
  <si>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</si>
  <si>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</si>
  <si>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</si>
  <si>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</si>
  <si>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</si>
  <si>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</si>
  <si>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</si>
  <si>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</si>
  <si>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</si>
  <si>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</si>
  <si>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Total</t>
  </si>
  <si>
    <t>Expected Gold</t>
  </si>
  <si>
    <t>Populate List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</si>
</sst>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13131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2" borderId="1" applyNumberFormat="0" applyAlignment="0" applyProtection="0"/>
    <xf numFmtId="0" fontId="5" fillId="3" borderId="1" applyNumberFormat="0" applyAlignment="0" applyProtection="0"/>
  </cellStyleXfs>
  <cellXfs count="41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" fillId="2" borderId="1" xfId="1" applyAlignment="1">
      <alignment horizontal="center"/>
    </xf>
    <xf numFmtId="0" fontId="5" fillId="3" borderId="1" xfId="2" applyAlignment="1">
      <alignment horizontal="center"/>
    </xf>
    <xf numFmtId="2" fontId="5" fillId="3" borderId="1" xfId="2" applyNumberFormat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0" fontId="1" fillId="0" borderId="24" xfId="0" applyFont="1" applyBorder="1" applyAlignment="1">
      <alignment horizontal="center"/>
    </xf>
    <xf numFmtId="2" fontId="1" fillId="0" borderId="25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24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5</xdr:row>
          <xdr:rowOff>9525</xdr:rowOff>
        </xdr:from>
        <xdr:to>
          <xdr:col>3</xdr:col>
          <xdr:colOff>1457325</xdr:colOff>
          <xdr:row>6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AA89E-162A-4EF9-AF10-D737E866C8A6}">
  <sheetPr codeName="Sheet1"/>
  <dimension ref="A1:BN274"/>
  <sheetViews>
    <sheetView workbookViewId="0">
      <selection activeCell="G94" sqref="G94"/>
    </sheetView>
  </sheetViews>
  <sheetFormatPr defaultRowHeight="15" x14ac:dyDescent="0.25"/>
  <cols>
    <col min="1" max="1" width="9.140625" style="2"/>
    <col min="2" max="2" width="19.85546875" style="2" customWidth="1"/>
    <col min="3" max="4" width="9.140625" style="2"/>
    <col min="5" max="20" width="9.42578125" style="2" customWidth="1"/>
    <col min="21" max="22" width="9.140625" style="2"/>
    <col min="23" max="23" width="13.140625" style="2" customWidth="1"/>
    <col min="24" max="24" width="11.42578125" style="2" customWidth="1"/>
    <col min="25" max="25" width="27.7109375" style="2" customWidth="1"/>
    <col min="26" max="26" width="9.140625" style="2"/>
    <col min="27" max="27" width="16" style="2" customWidth="1"/>
    <col min="28" max="28" width="9.140625" style="2"/>
    <col min="29" max="29" width="16" style="2" customWidth="1"/>
    <col min="30" max="30" width="9.140625" style="2"/>
    <col min="31" max="31" width="16" style="2" customWidth="1"/>
    <col min="32" max="32" width="9.140625" style="2"/>
    <col min="33" max="33" width="16" style="2" customWidth="1"/>
    <col min="34" max="34" width="9.140625" style="2"/>
    <col min="35" max="35" width="16" style="2" customWidth="1"/>
    <col min="36" max="36" width="9.140625" style="2"/>
    <col min="37" max="37" width="16" style="2" customWidth="1"/>
    <col min="38" max="38" width="9.140625" style="2"/>
    <col min="39" max="39" width="16" style="2" customWidth="1"/>
    <col min="40" max="40" width="9.140625" style="2"/>
    <col min="41" max="41" width="15" style="2" customWidth="1"/>
    <col min="42" max="42" width="9.140625" style="2"/>
    <col min="43" max="43" width="15" style="2" customWidth="1"/>
    <col min="44" max="44" width="9.140625" style="2"/>
    <col min="45" max="45" width="15" style="2" customWidth="1"/>
    <col min="46" max="46" width="9.140625" style="2"/>
    <col min="47" max="47" width="15" style="2" customWidth="1"/>
    <col min="48" max="48" width="9.140625" style="2"/>
    <col min="49" max="49" width="15" style="2" customWidth="1"/>
    <col min="50" max="50" width="9.140625" style="2"/>
    <col min="51" max="51" width="15" style="2" customWidth="1"/>
    <col min="52" max="52" width="9.140625" style="2"/>
    <col min="53" max="53" width="15" style="2" customWidth="1"/>
    <col min="54" max="54" width="9.140625" style="2"/>
    <col min="55" max="55" width="15" style="2" customWidth="1"/>
    <col min="56" max="16384" width="9.140625" style="2"/>
  </cols>
  <sheetData>
    <row r="1" spans="1:66" x14ac:dyDescent="0.25">
      <c r="A1" s="3"/>
      <c r="B1" s="4"/>
      <c r="C1" s="4"/>
      <c r="D1" s="4"/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5">
        <v>16</v>
      </c>
    </row>
    <row r="2" spans="1:66" ht="15.75" thickBot="1" x14ac:dyDescent="0.3">
      <c r="A2" s="6" t="s">
        <v>91</v>
      </c>
      <c r="B2" s="7" t="s">
        <v>1</v>
      </c>
      <c r="C2" s="7" t="s">
        <v>0</v>
      </c>
      <c r="D2" s="7" t="s">
        <v>118</v>
      </c>
      <c r="E2" s="8">
        <f t="shared" ref="E2:T2" si="0">IF(E1&gt;$Z$4,"-",E1)</f>
        <v>1</v>
      </c>
      <c r="F2" s="8" t="str">
        <f t="shared" si="0"/>
        <v>-</v>
      </c>
      <c r="G2" s="8" t="str">
        <f t="shared" si="0"/>
        <v>-</v>
      </c>
      <c r="H2" s="8" t="str">
        <f t="shared" si="0"/>
        <v>-</v>
      </c>
      <c r="I2" s="8" t="str">
        <f t="shared" si="0"/>
        <v>-</v>
      </c>
      <c r="J2" s="8" t="str">
        <f t="shared" si="0"/>
        <v>-</v>
      </c>
      <c r="K2" s="8" t="str">
        <f t="shared" si="0"/>
        <v>-</v>
      </c>
      <c r="L2" s="8" t="str">
        <f t="shared" si="0"/>
        <v>-</v>
      </c>
      <c r="M2" s="8" t="str">
        <f t="shared" si="0"/>
        <v>-</v>
      </c>
      <c r="N2" s="8" t="str">
        <f t="shared" si="0"/>
        <v>-</v>
      </c>
      <c r="O2" s="8" t="str">
        <f t="shared" si="0"/>
        <v>-</v>
      </c>
      <c r="P2" s="8" t="str">
        <f t="shared" si="0"/>
        <v>-</v>
      </c>
      <c r="Q2" s="8" t="str">
        <f t="shared" si="0"/>
        <v>-</v>
      </c>
      <c r="R2" s="8" t="str">
        <f t="shared" si="0"/>
        <v>-</v>
      </c>
      <c r="S2" s="8" t="str">
        <f t="shared" si="0"/>
        <v>-</v>
      </c>
      <c r="T2" s="9" t="str">
        <f t="shared" si="0"/>
        <v>-</v>
      </c>
      <c r="Z2"/>
      <c r="AA2"/>
    </row>
    <row r="3" spans="1:66" x14ac:dyDescent="0.25">
      <c r="A3" s="3">
        <v>1</v>
      </c>
      <c r="B3" s="4" t="str" cm="1">
        <f t="array" ref="B3:C91">_xlfn._xlws.SORT(Interface!B12:C100,2,-1)</f>
        <v>Netherlands</v>
      </c>
      <c r="C3" s="5">
        <v>15.95</v>
      </c>
      <c r="D3" s="13">
        <v>1</v>
      </c>
      <c r="E3" s="3" t="str">
        <f>IF(E$1&gt;$Z$4,"-",IF(COUNTIF($D$3:$D3,E$2)=$Z$3,"Full",SUMIFS($C$3:$C3,$D$3:$D3,E$2)))</f>
        <v>Full</v>
      </c>
      <c r="F3" s="4" t="str">
        <f>IF(F$1&gt;$Z$4,"-",IF(COUNTIF($D$3:$D3,F$2)=$Z$3,"Full",SUMIFS($C$3:$C3,$D$3:$D3,F$2)))</f>
        <v>-</v>
      </c>
      <c r="G3" s="4" t="str">
        <f>IF(G$1&gt;$Z$4,"-",IF(COUNTIF($D$3:$D3,G$2)=$Z$3,"Full",SUMIFS($C$3:$C3,$D$3:$D3,G$2)))</f>
        <v>-</v>
      </c>
      <c r="H3" s="4" t="str">
        <f>IF(H$1&gt;$Z$4,"-",IF(COUNTIF($D$3:$D3,H$2)=$Z$3,"Full",SUMIFS($C$3:$C3,$D$3:$D3,H$2)))</f>
        <v>-</v>
      </c>
      <c r="I3" s="4" t="str">
        <f>IF(I$1&gt;$Z$4,"-",IF(COUNTIF($D$3:$D3,I$2)=$Z$3,"Full",SUMIFS($C$3:$C3,$D$3:$D3,I$2)))</f>
        <v>-</v>
      </c>
      <c r="J3" s="4" t="str">
        <f>IF(J$1&gt;$Z$4,"-",IF(COUNTIF($D$3:$D3,J$2)=$Z$3,"Full",SUMIFS($C$3:$C3,$D$3:$D3,J$2)))</f>
        <v>-</v>
      </c>
      <c r="K3" s="4" t="str">
        <f>IF(K$1&gt;$Z$4,"-",IF(COUNTIF($D$3:$D3,K$2)=$Z$3,"Full",SUMIFS($C$3:$C3,$D$3:$D3,K$2)))</f>
        <v>-</v>
      </c>
      <c r="L3" s="4" t="str">
        <f>IF(L$1&gt;$Z$4,"-",IF(COUNTIF($D$3:$D3,L$2)=$Z$3,"Full",SUMIFS($C$3:$C3,$D$3:$D3,L$2)))</f>
        <v>-</v>
      </c>
      <c r="M3" s="4" t="str">
        <f>IF(M$1&gt;$Z$4,"-",IF(COUNTIF($D$3:$D3,M$2)=$Z$3,"Full",SUMIFS($C$3:$C3,$D$3:$D3,M$2)))</f>
        <v>-</v>
      </c>
      <c r="N3" s="4" t="str">
        <f>IF(N$1&gt;$Z$4,"-",IF(COUNTIF($D$3:$D3,N$2)=$Z$3,"Full",SUMIFS($C$3:$C3,$D$3:$D3,N$2)))</f>
        <v>-</v>
      </c>
      <c r="O3" s="4" t="str">
        <f>IF(O$1&gt;$Z$4,"-",IF(COUNTIF($D$3:$D3,O$2)=$Z$3,"Full",SUMIFS($C$3:$C3,$D$3:$D3,O$2)))</f>
        <v>-</v>
      </c>
      <c r="P3" s="4" t="str">
        <f>IF(P$1&gt;$Z$4,"-",IF(COUNTIF($D$3:$D3,P$2)=$Z$3,"Full",SUMIFS($C$3:$C3,$D$3:$D3,P$2)))</f>
        <v>-</v>
      </c>
      <c r="Q3" s="4" t="str">
        <f>IF(Q$1&gt;$Z$4,"-",IF(COUNTIF($D$3:$D3,Q$2)=$Z$3,"Full",SUMIFS($C$3:$C3,$D$3:$D3,Q$2)))</f>
        <v>-</v>
      </c>
      <c r="R3" s="4" t="str">
        <f>IF(R$1&gt;$Z$4,"-",IF(COUNTIF($D$3:$D3,R$2)=$Z$3,"Full",SUMIFS($C$3:$C3,$D$3:$D3,R$2)))</f>
        <v>-</v>
      </c>
      <c r="S3" s="4" t="str">
        <f>IF(S$1&gt;$Z$4,"-",IF(COUNTIF($D$3:$D3,S$2)=$Z$3,"Full",SUMIFS($C$3:$C3,$D$3:$D3,S$2)))</f>
        <v>-</v>
      </c>
      <c r="T3" s="5" t="str">
        <f>IF(T$1&gt;$Z$4,"-",IF(COUNTIF($D$3:$D3,T$2)=$Z$3,"Full",SUMIFS($C$3:$C3,$D$3:$D3,T$2)))</f>
        <v>-</v>
      </c>
      <c r="Y3" s="1" t="s">
        <v>92</v>
      </c>
      <c r="Z3" s="2">
        <f>Interface!C4</f>
        <v>1</v>
      </c>
      <c r="AA3"/>
      <c r="AC3" s="2">
        <f>23+Z3</f>
        <v>24</v>
      </c>
    </row>
    <row r="4" spans="1:66" x14ac:dyDescent="0.25">
      <c r="A4" s="10">
        <f>IF(B4="","",A3+1)</f>
        <v>2</v>
      </c>
      <c r="B4" s="2" t="str">
        <v>Great Britain</v>
      </c>
      <c r="C4" s="11">
        <v>15.89</v>
      </c>
      <c r="D4" s="14" t="str" cm="1">
        <f t="array" aca="1" ref="D4" ca="1">IFERROR(_xlfn.XLOOKUP(MIN(E3:INDIRECT($AA$4&amp;A4+1)),E3:INDIRECT($AA$4&amp;A4+1),$E$2:INDIRECT($AA$4&amp;"$2")),"-")</f>
        <v>-</v>
      </c>
      <c r="E4" s="10" t="str">
        <f ca="1">IF(E$1&gt;$Z$4,"-",IF(COUNTIF($D$3:$D4,E$2)=$Z$3,"Full",SUMIFS($C$3:$C4,$D$3:$D4,E$2)))</f>
        <v>Full</v>
      </c>
      <c r="F4" s="2" t="str">
        <f>IF(F$1&gt;$Z$4,"-",IF(COUNTIF($D$3:$D4,F$2)=$Z$3,"Full",SUMIFS($C$3:$C4,$D$3:$D4,F$2)))</f>
        <v>-</v>
      </c>
      <c r="G4" s="2" t="str">
        <f>IF(G$1&gt;$Z$4,"-",IF(COUNTIF($D$3:$D4,G$2)=$Z$3,"Full",SUMIFS($C$3:$C4,$D$3:$D4,G$2)))</f>
        <v>-</v>
      </c>
      <c r="H4" s="2" t="str">
        <f>IF(H$1&gt;$Z$4,"-",IF(COUNTIF($D$3:$D4,H$2)=$Z$3,"Full",SUMIFS($C$3:$C4,$D$3:$D4,H$2)))</f>
        <v>-</v>
      </c>
      <c r="I4" s="2" t="str">
        <f>IF(I$1&gt;$Z$4,"-",IF(COUNTIF($D$3:$D4,I$2)=$Z$3,"Full",SUMIFS($C$3:$C4,$D$3:$D4,I$2)))</f>
        <v>-</v>
      </c>
      <c r="J4" s="2" t="str">
        <f>IF(J$1&gt;$Z$4,"-",IF(COUNTIF($D$3:$D4,J$2)=$Z$3,"Full",SUMIFS($C$3:$C4,$D$3:$D4,J$2)))</f>
        <v>-</v>
      </c>
      <c r="K4" s="2" t="str">
        <f>IF(K$1&gt;$Z$4,"-",IF(COUNTIF($D$3:$D4,K$2)=$Z$3,"Full",SUMIFS($C$3:$C4,$D$3:$D4,K$2)))</f>
        <v>-</v>
      </c>
      <c r="L4" s="2" t="str">
        <f>IF(L$1&gt;$Z$4,"-",IF(COUNTIF($D$3:$D4,L$2)=$Z$3,"Full",SUMIFS($C$3:$C4,$D$3:$D4,L$2)))</f>
        <v>-</v>
      </c>
      <c r="M4" s="2" t="str">
        <f>IF(M$1&gt;$Z$4,"-",IF(COUNTIF($D$3:$D4,M$2)=$Z$3,"Full",SUMIFS($C$3:$C4,$D$3:$D4,M$2)))</f>
        <v>-</v>
      </c>
      <c r="N4" s="2" t="str">
        <f>IF(N$1&gt;$Z$4,"-",IF(COUNTIF($D$3:$D4,N$2)=$Z$3,"Full",SUMIFS($C$3:$C4,$D$3:$D4,N$2)))</f>
        <v>-</v>
      </c>
      <c r="O4" s="2" t="str">
        <f>IF(O$1&gt;$Z$4,"-",IF(COUNTIF($D$3:$D4,O$2)=$Z$3,"Full",SUMIFS($C$3:$C4,$D$3:$D4,O$2)))</f>
        <v>-</v>
      </c>
      <c r="P4" s="2" t="str">
        <f>IF(P$1&gt;$Z$4,"-",IF(COUNTIF($D$3:$D4,P$2)=$Z$3,"Full",SUMIFS($C$3:$C4,$D$3:$D4,P$2)))</f>
        <v>-</v>
      </c>
      <c r="Q4" s="2" t="str">
        <f>IF(Q$1&gt;$Z$4,"-",IF(COUNTIF($D$3:$D4,Q$2)=$Z$3,"Full",SUMIFS($C$3:$C4,$D$3:$D4,Q$2)))</f>
        <v>-</v>
      </c>
      <c r="R4" s="2" t="str">
        <f>IF(R$1&gt;$Z$4,"-",IF(COUNTIF($D$3:$D4,R$2)=$Z$3,"Full",SUMIFS($C$3:$C4,$D$3:$D4,R$2)))</f>
        <v>-</v>
      </c>
      <c r="S4" s="2" t="str">
        <f>IF(S$1&gt;$Z$4,"-",IF(COUNTIF($D$3:$D4,S$2)=$Z$3,"Full",SUMIFS($C$3:$C4,$D$3:$D4,S$2)))</f>
        <v>-</v>
      </c>
      <c r="T4" s="11" t="str">
        <f>IF(T$1&gt;$Z$4,"-",IF(COUNTIF($D$3:$D4,T$2)=$Z$3,"Full",SUMIFS($C$3:$C4,$D$3:$D4,T$2)))</f>
        <v>-</v>
      </c>
      <c r="Y4" s="1" t="s">
        <v>93</v>
      </c>
      <c r="Z4" s="2">
        <f>Interface!C3</f>
        <v>1</v>
      </c>
      <c r="AA4" s="2" t="str">
        <f>_xlfn.XLOOKUP(Z4,BM4:BM20,BN4:BN20)</f>
        <v>E</v>
      </c>
      <c r="AB4" s="2">
        <f>Z4*2</f>
        <v>2</v>
      </c>
      <c r="AC4" s="2">
        <v>35</v>
      </c>
      <c r="AD4" s="2">
        <f>24+2*Z4</f>
        <v>26</v>
      </c>
      <c r="AE4" s="2" t="str">
        <f>_xlfn.CONCAT("Y23:",ADDRESS(AC4,AD4,4))</f>
        <v>Y23:Z35</v>
      </c>
      <c r="BM4" s="2">
        <v>1</v>
      </c>
      <c r="BN4" s="2" t="s">
        <v>97</v>
      </c>
    </row>
    <row r="5" spans="1:66" x14ac:dyDescent="0.25">
      <c r="A5" s="10">
        <f t="shared" ref="A5:A68" si="1">IF(B5="","",A4+1)</f>
        <v>3</v>
      </c>
      <c r="B5" s="2" t="str">
        <v>Australia</v>
      </c>
      <c r="C5" s="11">
        <v>13.5</v>
      </c>
      <c r="D5" s="14" t="str" cm="1">
        <f t="array" aca="1" ref="D5" ca="1">IFERROR(_xlfn.XLOOKUP(MIN(E4:INDIRECT($AA$4&amp;A5+1)),E4:INDIRECT($AA$4&amp;A5+1),$E$2:INDIRECT($AA$4&amp;"$2")),"-")</f>
        <v>-</v>
      </c>
      <c r="E5" s="10" t="str">
        <f ca="1">IF(E$1&gt;$Z$4,"-",IF(COUNTIF($D$3:$D5,E$2)=$Z$3,"Full",SUMIFS($C$3:$C5,$D$3:$D5,E$2)))</f>
        <v>Full</v>
      </c>
      <c r="F5" s="2" t="str">
        <f>IF(F$1&gt;$Z$4,"-",IF(COUNTIF($D$3:$D5,F$2)=$Z$3,"Full",SUMIFS($C$3:$C5,$D$3:$D5,F$2)))</f>
        <v>-</v>
      </c>
      <c r="G5" s="2" t="str">
        <f>IF(G$1&gt;$Z$4,"-",IF(COUNTIF($D$3:$D5,G$2)=$Z$3,"Full",SUMIFS($C$3:$C5,$D$3:$D5,G$2)))</f>
        <v>-</v>
      </c>
      <c r="H5" s="2" t="str">
        <f>IF(H$1&gt;$Z$4,"-",IF(COUNTIF($D$3:$D5,H$2)=$Z$3,"Full",SUMIFS($C$3:$C5,$D$3:$D5,H$2)))</f>
        <v>-</v>
      </c>
      <c r="I5" s="2" t="str">
        <f>IF(I$1&gt;$Z$4,"-",IF(COUNTIF($D$3:$D5,I$2)=$Z$3,"Full",SUMIFS($C$3:$C5,$D$3:$D5,I$2)))</f>
        <v>-</v>
      </c>
      <c r="J5" s="2" t="str">
        <f>IF(J$1&gt;$Z$4,"-",IF(COUNTIF($D$3:$D5,J$2)=$Z$3,"Full",SUMIFS($C$3:$C5,$D$3:$D5,J$2)))</f>
        <v>-</v>
      </c>
      <c r="K5" s="2" t="str">
        <f>IF(K$1&gt;$Z$4,"-",IF(COUNTIF($D$3:$D5,K$2)=$Z$3,"Full",SUMIFS($C$3:$C5,$D$3:$D5,K$2)))</f>
        <v>-</v>
      </c>
      <c r="L5" s="2" t="str">
        <f>IF(L$1&gt;$Z$4,"-",IF(COUNTIF($D$3:$D5,L$2)=$Z$3,"Full",SUMIFS($C$3:$C5,$D$3:$D5,L$2)))</f>
        <v>-</v>
      </c>
      <c r="M5" s="2" t="str">
        <f>IF(M$1&gt;$Z$4,"-",IF(COUNTIF($D$3:$D5,M$2)=$Z$3,"Full",SUMIFS($C$3:$C5,$D$3:$D5,M$2)))</f>
        <v>-</v>
      </c>
      <c r="N5" s="2" t="str">
        <f>IF(N$1&gt;$Z$4,"-",IF(COUNTIF($D$3:$D5,N$2)=$Z$3,"Full",SUMIFS($C$3:$C5,$D$3:$D5,N$2)))</f>
        <v>-</v>
      </c>
      <c r="O5" s="2" t="str">
        <f>IF(O$1&gt;$Z$4,"-",IF(COUNTIF($D$3:$D5,O$2)=$Z$3,"Full",SUMIFS($C$3:$C5,$D$3:$D5,O$2)))</f>
        <v>-</v>
      </c>
      <c r="P5" s="2" t="str">
        <f>IF(P$1&gt;$Z$4,"-",IF(COUNTIF($D$3:$D5,P$2)=$Z$3,"Full",SUMIFS($C$3:$C5,$D$3:$D5,P$2)))</f>
        <v>-</v>
      </c>
      <c r="Q5" s="2" t="str">
        <f>IF(Q$1&gt;$Z$4,"-",IF(COUNTIF($D$3:$D5,Q$2)=$Z$3,"Full",SUMIFS($C$3:$C5,$D$3:$D5,Q$2)))</f>
        <v>-</v>
      </c>
      <c r="R5" s="2" t="str">
        <f>IF(R$1&gt;$Z$4,"-",IF(COUNTIF($D$3:$D5,R$2)=$Z$3,"Full",SUMIFS($C$3:$C5,$D$3:$D5,R$2)))</f>
        <v>-</v>
      </c>
      <c r="S5" s="2" t="str">
        <f>IF(S$1&gt;$Z$4,"-",IF(COUNTIF($D$3:$D5,S$2)=$Z$3,"Full",SUMIFS($C$3:$C5,$D$3:$D5,S$2)))</f>
        <v>-</v>
      </c>
      <c r="T5" s="11" t="str">
        <f>IF(T$1&gt;$Z$4,"-",IF(COUNTIF($D$3:$D5,T$2)=$Z$3,"Full",SUMIFS($C$3:$C5,$D$3:$D5,T$2)))</f>
        <v>-</v>
      </c>
      <c r="Y5" s="1" t="s">
        <v>94</v>
      </c>
      <c r="Z5" s="2">
        <f>Z3*Z4</f>
        <v>1</v>
      </c>
      <c r="AA5"/>
      <c r="AC5" s="2">
        <f>3+Z3</f>
        <v>4</v>
      </c>
      <c r="AD5" s="2">
        <f>7+2*Z4</f>
        <v>9</v>
      </c>
      <c r="AE5" s="2" t="str">
        <f>_xlfn.CONCAT("GE:",ADDRESS(AC5,AD5,4))</f>
        <v>GE:I4</v>
      </c>
      <c r="BM5" s="2">
        <v>2</v>
      </c>
      <c r="BN5" s="2" t="s">
        <v>98</v>
      </c>
    </row>
    <row r="6" spans="1:66" x14ac:dyDescent="0.25">
      <c r="A6" s="10">
        <f t="shared" si="1"/>
        <v>4</v>
      </c>
      <c r="B6" s="2" t="str">
        <v>Japan</v>
      </c>
      <c r="C6" s="11">
        <v>12.13</v>
      </c>
      <c r="D6" s="14" t="str" cm="1">
        <f t="array" aca="1" ref="D6" ca="1">IFERROR(_xlfn.XLOOKUP(MIN(E5:INDIRECT($AA$4&amp;A6+1)),E5:INDIRECT($AA$4&amp;A6+1),$E$2:INDIRECT($AA$4&amp;"$2")),"-")</f>
        <v>-</v>
      </c>
      <c r="E6" s="10" t="str">
        <f ca="1">IF(E$1&gt;$Z$4,"-",IF(COUNTIF($D$3:$D6,E$2)=$Z$3,"Full",SUMIFS($C$3:$C6,$D$3:$D6,E$2)))</f>
        <v>Full</v>
      </c>
      <c r="F6" s="2" t="str">
        <f>IF(F$1&gt;$Z$4,"-",IF(COUNTIF($D$3:$D6,F$2)=$Z$3,"Full",SUMIFS($C$3:$C6,$D$3:$D6,F$2)))</f>
        <v>-</v>
      </c>
      <c r="G6" s="2" t="str">
        <f>IF(G$1&gt;$Z$4,"-",IF(COUNTIF($D$3:$D6,G$2)=$Z$3,"Full",SUMIFS($C$3:$C6,$D$3:$D6,G$2)))</f>
        <v>-</v>
      </c>
      <c r="H6" s="2" t="str">
        <f>IF(H$1&gt;$Z$4,"-",IF(COUNTIF($D$3:$D6,H$2)=$Z$3,"Full",SUMIFS($C$3:$C6,$D$3:$D6,H$2)))</f>
        <v>-</v>
      </c>
      <c r="I6" s="2" t="str">
        <f>IF(I$1&gt;$Z$4,"-",IF(COUNTIF($D$3:$D6,I$2)=$Z$3,"Full",SUMIFS($C$3:$C6,$D$3:$D6,I$2)))</f>
        <v>-</v>
      </c>
      <c r="J6" s="2" t="str">
        <f>IF(J$1&gt;$Z$4,"-",IF(COUNTIF($D$3:$D6,J$2)=$Z$3,"Full",SUMIFS($C$3:$C6,$D$3:$D6,J$2)))</f>
        <v>-</v>
      </c>
      <c r="K6" s="2" t="str">
        <f>IF(K$1&gt;$Z$4,"-",IF(COUNTIF($D$3:$D6,K$2)=$Z$3,"Full",SUMIFS($C$3:$C6,$D$3:$D6,K$2)))</f>
        <v>-</v>
      </c>
      <c r="L6" s="2" t="str">
        <f>IF(L$1&gt;$Z$4,"-",IF(COUNTIF($D$3:$D6,L$2)=$Z$3,"Full",SUMIFS($C$3:$C6,$D$3:$D6,L$2)))</f>
        <v>-</v>
      </c>
      <c r="M6" s="2" t="str">
        <f>IF(M$1&gt;$Z$4,"-",IF(COUNTIF($D$3:$D6,M$2)=$Z$3,"Full",SUMIFS($C$3:$C6,$D$3:$D6,M$2)))</f>
        <v>-</v>
      </c>
      <c r="N6" s="2" t="str">
        <f>IF(N$1&gt;$Z$4,"-",IF(COUNTIF($D$3:$D6,N$2)=$Z$3,"Full",SUMIFS($C$3:$C6,$D$3:$D6,N$2)))</f>
        <v>-</v>
      </c>
      <c r="O6" s="2" t="str">
        <f>IF(O$1&gt;$Z$4,"-",IF(COUNTIF($D$3:$D6,O$2)=$Z$3,"Full",SUMIFS($C$3:$C6,$D$3:$D6,O$2)))</f>
        <v>-</v>
      </c>
      <c r="P6" s="2" t="str">
        <f>IF(P$1&gt;$Z$4,"-",IF(COUNTIF($D$3:$D6,P$2)=$Z$3,"Full",SUMIFS($C$3:$C6,$D$3:$D6,P$2)))</f>
        <v>-</v>
      </c>
      <c r="Q6" s="2" t="str">
        <f>IF(Q$1&gt;$Z$4,"-",IF(COUNTIF($D$3:$D6,Q$2)=$Z$3,"Full",SUMIFS($C$3:$C6,$D$3:$D6,Q$2)))</f>
        <v>-</v>
      </c>
      <c r="R6" s="2" t="str">
        <f>IF(R$1&gt;$Z$4,"-",IF(COUNTIF($D$3:$D6,R$2)=$Z$3,"Full",SUMIFS($C$3:$C6,$D$3:$D6,R$2)))</f>
        <v>-</v>
      </c>
      <c r="S6" s="2" t="str">
        <f>IF(S$1&gt;$Z$4,"-",IF(COUNTIF($D$3:$D6,S$2)=$Z$3,"Full",SUMIFS($C$3:$C6,$D$3:$D6,S$2)))</f>
        <v>-</v>
      </c>
      <c r="T6" s="11" t="str">
        <f>IF(T$1&gt;$Z$4,"-",IF(COUNTIF($D$3:$D6,T$2)=$Z$3,"Full",SUMIFS($C$3:$C6,$D$3:$D6,T$2)))</f>
        <v>-</v>
      </c>
      <c r="Y6" s="1" t="s">
        <v>95</v>
      </c>
      <c r="Z6" s="2">
        <f>AVERAGEIFS(C3:C91,A3:A91,"&lt;="&amp;Z5)</f>
        <v>15.95</v>
      </c>
      <c r="AA6"/>
      <c r="BM6" s="2">
        <v>3</v>
      </c>
      <c r="BN6" s="2" t="s">
        <v>99</v>
      </c>
    </row>
    <row r="7" spans="1:66" x14ac:dyDescent="0.25">
      <c r="A7" s="10">
        <f t="shared" si="1"/>
        <v>5</v>
      </c>
      <c r="B7" s="2" t="str">
        <v>Italy</v>
      </c>
      <c r="C7" s="11">
        <v>10.99</v>
      </c>
      <c r="D7" s="14" t="str" cm="1">
        <f t="array" aca="1" ref="D7" ca="1">IFERROR(_xlfn.XLOOKUP(MIN(E6:INDIRECT($AA$4&amp;A7+1)),E6:INDIRECT($AA$4&amp;A7+1),$E$2:INDIRECT($AA$4&amp;"$2")),"-")</f>
        <v>-</v>
      </c>
      <c r="E7" s="10" t="str">
        <f ca="1">IF(E$1&gt;$Z$4,"-",IF(COUNTIF($D$3:$D7,E$2)=$Z$3,"Full",SUMIFS($C$3:$C7,$D$3:$D7,E$2)))</f>
        <v>Full</v>
      </c>
      <c r="F7" s="2" t="str">
        <f>IF(F$1&gt;$Z$4,"-",IF(COUNTIF($D$3:$D7,F$2)=$Z$3,"Full",SUMIFS($C$3:$C7,$D$3:$D7,F$2)))</f>
        <v>-</v>
      </c>
      <c r="G7" s="2" t="str">
        <f>IF(G$1&gt;$Z$4,"-",IF(COUNTIF($D$3:$D7,G$2)=$Z$3,"Full",SUMIFS($C$3:$C7,$D$3:$D7,G$2)))</f>
        <v>-</v>
      </c>
      <c r="H7" s="2" t="str">
        <f>IF(H$1&gt;$Z$4,"-",IF(COUNTIF($D$3:$D7,H$2)=$Z$3,"Full",SUMIFS($C$3:$C7,$D$3:$D7,H$2)))</f>
        <v>-</v>
      </c>
      <c r="I7" s="2" t="str">
        <f>IF(I$1&gt;$Z$4,"-",IF(COUNTIF($D$3:$D7,I$2)=$Z$3,"Full",SUMIFS($C$3:$C7,$D$3:$D7,I$2)))</f>
        <v>-</v>
      </c>
      <c r="J7" s="2" t="str">
        <f>IF(J$1&gt;$Z$4,"-",IF(COUNTIF($D$3:$D7,J$2)=$Z$3,"Full",SUMIFS($C$3:$C7,$D$3:$D7,J$2)))</f>
        <v>-</v>
      </c>
      <c r="K7" s="2" t="str">
        <f>IF(K$1&gt;$Z$4,"-",IF(COUNTIF($D$3:$D7,K$2)=$Z$3,"Full",SUMIFS($C$3:$C7,$D$3:$D7,K$2)))</f>
        <v>-</v>
      </c>
      <c r="L7" s="2" t="str">
        <f>IF(L$1&gt;$Z$4,"-",IF(COUNTIF($D$3:$D7,L$2)=$Z$3,"Full",SUMIFS($C$3:$C7,$D$3:$D7,L$2)))</f>
        <v>-</v>
      </c>
      <c r="M7" s="2" t="str">
        <f>IF(M$1&gt;$Z$4,"-",IF(COUNTIF($D$3:$D7,M$2)=$Z$3,"Full",SUMIFS($C$3:$C7,$D$3:$D7,M$2)))</f>
        <v>-</v>
      </c>
      <c r="N7" s="2" t="str">
        <f>IF(N$1&gt;$Z$4,"-",IF(COUNTIF($D$3:$D7,N$2)=$Z$3,"Full",SUMIFS($C$3:$C7,$D$3:$D7,N$2)))</f>
        <v>-</v>
      </c>
      <c r="O7" s="2" t="str">
        <f>IF(O$1&gt;$Z$4,"-",IF(COUNTIF($D$3:$D7,O$2)=$Z$3,"Full",SUMIFS($C$3:$C7,$D$3:$D7,O$2)))</f>
        <v>-</v>
      </c>
      <c r="P7" s="2" t="str">
        <f>IF(P$1&gt;$Z$4,"-",IF(COUNTIF($D$3:$D7,P$2)=$Z$3,"Full",SUMIFS($C$3:$C7,$D$3:$D7,P$2)))</f>
        <v>-</v>
      </c>
      <c r="Q7" s="2" t="str">
        <f>IF(Q$1&gt;$Z$4,"-",IF(COUNTIF($D$3:$D7,Q$2)=$Z$3,"Full",SUMIFS($C$3:$C7,$D$3:$D7,Q$2)))</f>
        <v>-</v>
      </c>
      <c r="R7" s="2" t="str">
        <f>IF(R$1&gt;$Z$4,"-",IF(COUNTIF($D$3:$D7,R$2)=$Z$3,"Full",SUMIFS($C$3:$C7,$D$3:$D7,R$2)))</f>
        <v>-</v>
      </c>
      <c r="S7" s="2" t="str">
        <f>IF(S$1&gt;$Z$4,"-",IF(COUNTIF($D$3:$D7,S$2)=$Z$3,"Full",SUMIFS($C$3:$C7,$D$3:$D7,S$2)))</f>
        <v>-</v>
      </c>
      <c r="T7" s="11" t="str">
        <f>IF(T$1&gt;$Z$4,"-",IF(COUNTIF($D$3:$D7,T$2)=$Z$3,"Full",SUMIFS($C$3:$C7,$D$3:$D7,T$2)))</f>
        <v>-</v>
      </c>
      <c r="Y7" s="1" t="s">
        <v>96</v>
      </c>
      <c r="Z7" s="2">
        <f>Z6*Z3</f>
        <v>15.95</v>
      </c>
      <c r="AA7"/>
      <c r="BM7" s="2">
        <v>4</v>
      </c>
      <c r="BN7" s="2" t="s">
        <v>100</v>
      </c>
    </row>
    <row r="8" spans="1:66" ht="15.75" thickBot="1" x14ac:dyDescent="0.3">
      <c r="A8" s="10">
        <f t="shared" si="1"/>
        <v>6</v>
      </c>
      <c r="B8" s="2" t="str">
        <v>Germany</v>
      </c>
      <c r="C8" s="11">
        <v>10.02</v>
      </c>
      <c r="D8" s="14" t="str" cm="1">
        <f t="array" aca="1" ref="D8" ca="1">IFERROR(_xlfn.XLOOKUP(MIN(E7:INDIRECT($AA$4&amp;A8+1)),E7:INDIRECT($AA$4&amp;A8+1),$E$2:INDIRECT($AA$4&amp;"$2")),"-")</f>
        <v>-</v>
      </c>
      <c r="E8" s="10" t="str">
        <f ca="1">IF(E$1&gt;$Z$4,"-",IF(COUNTIF($D$3:$D8,E$2)=$Z$3,"Full",SUMIFS($C$3:$C8,$D$3:$D8,E$2)))</f>
        <v>Full</v>
      </c>
      <c r="F8" s="2" t="str">
        <f>IF(F$1&gt;$Z$4,"-",IF(COUNTIF($D$3:$D8,F$2)=$Z$3,"Full",SUMIFS($C$3:$C8,$D$3:$D8,F$2)))</f>
        <v>-</v>
      </c>
      <c r="G8" s="2" t="str">
        <f>IF(G$1&gt;$Z$4,"-",IF(COUNTIF($D$3:$D8,G$2)=$Z$3,"Full",SUMIFS($C$3:$C8,$D$3:$D8,G$2)))</f>
        <v>-</v>
      </c>
      <c r="H8" s="2" t="str">
        <f>IF(H$1&gt;$Z$4,"-",IF(COUNTIF($D$3:$D8,H$2)=$Z$3,"Full",SUMIFS($C$3:$C8,$D$3:$D8,H$2)))</f>
        <v>-</v>
      </c>
      <c r="I8" s="2" t="str">
        <f>IF(I$1&gt;$Z$4,"-",IF(COUNTIF($D$3:$D8,I$2)=$Z$3,"Full",SUMIFS($C$3:$C8,$D$3:$D8,I$2)))</f>
        <v>-</v>
      </c>
      <c r="J8" s="2" t="str">
        <f>IF(J$1&gt;$Z$4,"-",IF(COUNTIF($D$3:$D8,J$2)=$Z$3,"Full",SUMIFS($C$3:$C8,$D$3:$D8,J$2)))</f>
        <v>-</v>
      </c>
      <c r="K8" s="2" t="str">
        <f>IF(K$1&gt;$Z$4,"-",IF(COUNTIF($D$3:$D8,K$2)=$Z$3,"Full",SUMIFS($C$3:$C8,$D$3:$D8,K$2)))</f>
        <v>-</v>
      </c>
      <c r="L8" s="2" t="str">
        <f>IF(L$1&gt;$Z$4,"-",IF(COUNTIF($D$3:$D8,L$2)=$Z$3,"Full",SUMIFS($C$3:$C8,$D$3:$D8,L$2)))</f>
        <v>-</v>
      </c>
      <c r="M8" s="2" t="str">
        <f>IF(M$1&gt;$Z$4,"-",IF(COUNTIF($D$3:$D8,M$2)=$Z$3,"Full",SUMIFS($C$3:$C8,$D$3:$D8,M$2)))</f>
        <v>-</v>
      </c>
      <c r="N8" s="2" t="str">
        <f>IF(N$1&gt;$Z$4,"-",IF(COUNTIF($D$3:$D8,N$2)=$Z$3,"Full",SUMIFS($C$3:$C8,$D$3:$D8,N$2)))</f>
        <v>-</v>
      </c>
      <c r="O8" s="2" t="str">
        <f>IF(O$1&gt;$Z$4,"-",IF(COUNTIF($D$3:$D8,O$2)=$Z$3,"Full",SUMIFS($C$3:$C8,$D$3:$D8,O$2)))</f>
        <v>-</v>
      </c>
      <c r="P8" s="2" t="str">
        <f>IF(P$1&gt;$Z$4,"-",IF(COUNTIF($D$3:$D8,P$2)=$Z$3,"Full",SUMIFS($C$3:$C8,$D$3:$D8,P$2)))</f>
        <v>-</v>
      </c>
      <c r="Q8" s="2" t="str">
        <f>IF(Q$1&gt;$Z$4,"-",IF(COUNTIF($D$3:$D8,Q$2)=$Z$3,"Full",SUMIFS($C$3:$C8,$D$3:$D8,Q$2)))</f>
        <v>-</v>
      </c>
      <c r="R8" s="2" t="str">
        <f>IF(R$1&gt;$Z$4,"-",IF(COUNTIF($D$3:$D8,R$2)=$Z$3,"Full",SUMIFS($C$3:$C8,$D$3:$D8,R$2)))</f>
        <v>-</v>
      </c>
      <c r="S8" s="2" t="str">
        <f>IF(S$1&gt;$Z$4,"-",IF(COUNTIF($D$3:$D8,S$2)=$Z$3,"Full",SUMIFS($C$3:$C8,$D$3:$D8,S$2)))</f>
        <v>-</v>
      </c>
      <c r="T8" s="11" t="str">
        <f>IF(T$1&gt;$Z$4,"-",IF(COUNTIF($D$3:$D8,T$2)=$Z$3,"Full",SUMIFS($C$3:$C8,$D$3:$D8,T$2)))</f>
        <v>-</v>
      </c>
      <c r="BM8" s="2">
        <v>5</v>
      </c>
      <c r="BN8" s="2" t="s">
        <v>101</v>
      </c>
    </row>
    <row r="9" spans="1:66" ht="15.75" thickBot="1" x14ac:dyDescent="0.3">
      <c r="A9" s="10">
        <f t="shared" si="1"/>
        <v>7</v>
      </c>
      <c r="B9" s="2" t="str">
        <v>South Korea</v>
      </c>
      <c r="C9" s="11">
        <v>8.01</v>
      </c>
      <c r="D9" s="14" t="str" cm="1">
        <f t="array" aca="1" ref="D9" ca="1">IFERROR(_xlfn.XLOOKUP(MIN(E8:INDIRECT($AA$4&amp;A9+1)),E8:INDIRECT($AA$4&amp;A9+1),$E$2:INDIRECT($AA$4&amp;"$2")),"-")</f>
        <v>-</v>
      </c>
      <c r="E9" s="10" t="str">
        <f ca="1">IF(E$1&gt;$Z$4,"-",IF(COUNTIF($D$3:$D9,E$2)=$Z$3,"Full",SUMIFS($C$3:$C9,$D$3:$D9,E$2)))</f>
        <v>Full</v>
      </c>
      <c r="F9" s="2" t="str">
        <f>IF(F$1&gt;$Z$4,"-",IF(COUNTIF($D$3:$D9,F$2)=$Z$3,"Full",SUMIFS($C$3:$C9,$D$3:$D9,F$2)))</f>
        <v>-</v>
      </c>
      <c r="G9" s="2" t="str">
        <f>IF(G$1&gt;$Z$4,"-",IF(COUNTIF($D$3:$D9,G$2)=$Z$3,"Full",SUMIFS($C$3:$C9,$D$3:$D9,G$2)))</f>
        <v>-</v>
      </c>
      <c r="H9" s="2" t="str">
        <f>IF(H$1&gt;$Z$4,"-",IF(COUNTIF($D$3:$D9,H$2)=$Z$3,"Full",SUMIFS($C$3:$C9,$D$3:$D9,H$2)))</f>
        <v>-</v>
      </c>
      <c r="I9" s="2" t="str">
        <f>IF(I$1&gt;$Z$4,"-",IF(COUNTIF($D$3:$D9,I$2)=$Z$3,"Full",SUMIFS($C$3:$C9,$D$3:$D9,I$2)))</f>
        <v>-</v>
      </c>
      <c r="J9" s="2" t="str">
        <f>IF(J$1&gt;$Z$4,"-",IF(COUNTIF($D$3:$D9,J$2)=$Z$3,"Full",SUMIFS($C$3:$C9,$D$3:$D9,J$2)))</f>
        <v>-</v>
      </c>
      <c r="K9" s="2" t="str">
        <f>IF(K$1&gt;$Z$4,"-",IF(COUNTIF($D$3:$D9,K$2)=$Z$3,"Full",SUMIFS($C$3:$C9,$D$3:$D9,K$2)))</f>
        <v>-</v>
      </c>
      <c r="L9" s="2" t="str">
        <f>IF(L$1&gt;$Z$4,"-",IF(COUNTIF($D$3:$D9,L$2)=$Z$3,"Full",SUMIFS($C$3:$C9,$D$3:$D9,L$2)))</f>
        <v>-</v>
      </c>
      <c r="M9" s="2" t="str">
        <f>IF(M$1&gt;$Z$4,"-",IF(COUNTIF($D$3:$D9,M$2)=$Z$3,"Full",SUMIFS($C$3:$C9,$D$3:$D9,M$2)))</f>
        <v>-</v>
      </c>
      <c r="N9" s="2" t="str">
        <f>IF(N$1&gt;$Z$4,"-",IF(COUNTIF($D$3:$D9,N$2)=$Z$3,"Full",SUMIFS($C$3:$C9,$D$3:$D9,N$2)))</f>
        <v>-</v>
      </c>
      <c r="O9" s="2" t="str">
        <f>IF(O$1&gt;$Z$4,"-",IF(COUNTIF($D$3:$D9,O$2)=$Z$3,"Full",SUMIFS($C$3:$C9,$D$3:$D9,O$2)))</f>
        <v>-</v>
      </c>
      <c r="P9" s="2" t="str">
        <f>IF(P$1&gt;$Z$4,"-",IF(COUNTIF($D$3:$D9,P$2)=$Z$3,"Full",SUMIFS($C$3:$C9,$D$3:$D9,P$2)))</f>
        <v>-</v>
      </c>
      <c r="Q9" s="2" t="str">
        <f>IF(Q$1&gt;$Z$4,"-",IF(COUNTIF($D$3:$D9,Q$2)=$Z$3,"Full",SUMIFS($C$3:$C9,$D$3:$D9,Q$2)))</f>
        <v>-</v>
      </c>
      <c r="R9" s="2" t="str">
        <f>IF(R$1&gt;$Z$4,"-",IF(COUNTIF($D$3:$D9,R$2)=$Z$3,"Full",SUMIFS($C$3:$C9,$D$3:$D9,R$2)))</f>
        <v>-</v>
      </c>
      <c r="S9" s="2" t="str">
        <f>IF(S$1&gt;$Z$4,"-",IF(COUNTIF($D$3:$D9,S$2)=$Z$3,"Full",SUMIFS($C$3:$C9,$D$3:$D9,S$2)))</f>
        <v>-</v>
      </c>
      <c r="T9" s="11" t="str">
        <f>IF(T$1&gt;$Z$4,"-",IF(COUNTIF($D$3:$D9,T$2)=$Z$3,"Full",SUMIFS($C$3:$C9,$D$3:$D9,T$2)))</f>
        <v>-</v>
      </c>
      <c r="W9" s="2" t="s">
        <v>115</v>
      </c>
      <c r="Y9" s="25">
        <v>1</v>
      </c>
      <c r="Z9" s="26"/>
      <c r="AA9" s="25">
        <v>2</v>
      </c>
      <c r="AB9" s="26"/>
      <c r="AC9" s="25">
        <v>3</v>
      </c>
      <c r="AD9" s="26"/>
      <c r="AE9" s="25">
        <v>4</v>
      </c>
      <c r="AF9" s="26"/>
      <c r="AG9" s="25">
        <v>5</v>
      </c>
      <c r="AH9" s="26"/>
      <c r="AI9" s="25">
        <v>6</v>
      </c>
      <c r="AJ9" s="26"/>
      <c r="AK9" s="25">
        <v>7</v>
      </c>
      <c r="AL9" s="26"/>
      <c r="AM9" s="25">
        <v>8</v>
      </c>
      <c r="AN9" s="26"/>
      <c r="AO9" s="25">
        <v>9</v>
      </c>
      <c r="AP9" s="26"/>
      <c r="AQ9" s="25">
        <v>10</v>
      </c>
      <c r="AR9" s="26"/>
      <c r="AS9" s="25">
        <v>11</v>
      </c>
      <c r="AT9" s="26"/>
      <c r="AU9" s="25">
        <v>12</v>
      </c>
      <c r="AV9" s="26"/>
      <c r="AW9" s="25">
        <v>13</v>
      </c>
      <c r="AX9" s="26"/>
      <c r="AY9" s="25">
        <v>14</v>
      </c>
      <c r="AZ9" s="26"/>
      <c r="BA9" s="25">
        <v>15</v>
      </c>
      <c r="BB9" s="26"/>
      <c r="BC9" s="25">
        <v>16</v>
      </c>
      <c r="BD9" s="26"/>
      <c r="BM9" s="2">
        <v>6</v>
      </c>
      <c r="BN9" s="2" t="s">
        <v>102</v>
      </c>
    </row>
    <row r="10" spans="1:66" x14ac:dyDescent="0.25">
      <c r="A10" s="10">
        <f t="shared" si="1"/>
        <v>8</v>
      </c>
      <c r="B10" s="2" t="str">
        <v>Hungary</v>
      </c>
      <c r="C10" s="11">
        <v>6.99</v>
      </c>
      <c r="D10" s="14" t="str" cm="1">
        <f t="array" aca="1" ref="D10" ca="1">IFERROR(_xlfn.XLOOKUP(MIN(E9:INDIRECT($AA$4&amp;A10+1)),E9:INDIRECT($AA$4&amp;A10+1),$E$2:INDIRECT($AA$4&amp;"$2")),"-")</f>
        <v>-</v>
      </c>
      <c r="E10" s="10" t="str">
        <f ca="1">IF(E$1&gt;$Z$4,"-",IF(COUNTIF($D$3:$D10,E$2)=$Z$3,"Full",SUMIFS($C$3:$C10,$D$3:$D10,E$2)))</f>
        <v>Full</v>
      </c>
      <c r="F10" s="2" t="str">
        <f>IF(F$1&gt;$Z$4,"-",IF(COUNTIF($D$3:$D10,F$2)=$Z$3,"Full",SUMIFS($C$3:$C10,$D$3:$D10,F$2)))</f>
        <v>-</v>
      </c>
      <c r="G10" s="2" t="str">
        <f>IF(G$1&gt;$Z$4,"-",IF(COUNTIF($D$3:$D10,G$2)=$Z$3,"Full",SUMIFS($C$3:$C10,$D$3:$D10,G$2)))</f>
        <v>-</v>
      </c>
      <c r="H10" s="2" t="str">
        <f>IF(H$1&gt;$Z$4,"-",IF(COUNTIF($D$3:$D10,H$2)=$Z$3,"Full",SUMIFS($C$3:$C10,$D$3:$D10,H$2)))</f>
        <v>-</v>
      </c>
      <c r="I10" s="2" t="str">
        <f>IF(I$1&gt;$Z$4,"-",IF(COUNTIF($D$3:$D10,I$2)=$Z$3,"Full",SUMIFS($C$3:$C10,$D$3:$D10,I$2)))</f>
        <v>-</v>
      </c>
      <c r="J10" s="2" t="str">
        <f>IF(J$1&gt;$Z$4,"-",IF(COUNTIF($D$3:$D10,J$2)=$Z$3,"Full",SUMIFS($C$3:$C10,$D$3:$D10,J$2)))</f>
        <v>-</v>
      </c>
      <c r="K10" s="2" t="str">
        <f>IF(K$1&gt;$Z$4,"-",IF(COUNTIF($D$3:$D10,K$2)=$Z$3,"Full",SUMIFS($C$3:$C10,$D$3:$D10,K$2)))</f>
        <v>-</v>
      </c>
      <c r="L10" s="2" t="str">
        <f>IF(L$1&gt;$Z$4,"-",IF(COUNTIF($D$3:$D10,L$2)=$Z$3,"Full",SUMIFS($C$3:$C10,$D$3:$D10,L$2)))</f>
        <v>-</v>
      </c>
      <c r="M10" s="2" t="str">
        <f>IF(M$1&gt;$Z$4,"-",IF(COUNTIF($D$3:$D10,M$2)=$Z$3,"Full",SUMIFS($C$3:$C10,$D$3:$D10,M$2)))</f>
        <v>-</v>
      </c>
      <c r="N10" s="2" t="str">
        <f>IF(N$1&gt;$Z$4,"-",IF(COUNTIF($D$3:$D10,N$2)=$Z$3,"Full",SUMIFS($C$3:$C10,$D$3:$D10,N$2)))</f>
        <v>-</v>
      </c>
      <c r="O10" s="2" t="str">
        <f>IF(O$1&gt;$Z$4,"-",IF(COUNTIF($D$3:$D10,O$2)=$Z$3,"Full",SUMIFS($C$3:$C10,$D$3:$D10,O$2)))</f>
        <v>-</v>
      </c>
      <c r="P10" s="2" t="str">
        <f>IF(P$1&gt;$Z$4,"-",IF(COUNTIF($D$3:$D10,P$2)=$Z$3,"Full",SUMIFS($C$3:$C10,$D$3:$D10,P$2)))</f>
        <v>-</v>
      </c>
      <c r="Q10" s="2" t="str">
        <f>IF(Q$1&gt;$Z$4,"-",IF(COUNTIF($D$3:$D10,Q$2)=$Z$3,"Full",SUMIFS($C$3:$C10,$D$3:$D10,Q$2)))</f>
        <v>-</v>
      </c>
      <c r="R10" s="2" t="str">
        <f>IF(R$1&gt;$Z$4,"-",IF(COUNTIF($D$3:$D10,R$2)=$Z$3,"Full",SUMIFS($C$3:$C10,$D$3:$D10,R$2)))</f>
        <v>-</v>
      </c>
      <c r="S10" s="2" t="str">
        <f>IF(S$1&gt;$Z$4,"-",IF(COUNTIF($D$3:$D10,S$2)=$Z$3,"Full",SUMIFS($C$3:$C10,$D$3:$D10,S$2)))</f>
        <v>-</v>
      </c>
      <c r="T10" s="11" t="str">
        <f>IF(T$1&gt;$Z$4,"-",IF(COUNTIF($D$3:$D10,T$2)=$Z$3,"Full",SUMIFS($C$3:$C10,$D$3:$D10,T$2)))</f>
        <v>-</v>
      </c>
      <c r="Y10" s="19" t="str" cm="1">
        <f t="array" aca="1" ref="Y10" ca="1">IFERROR(_xlfn._xlws.FILTER($B$3:$B$274,$D$3:$D$274=Y9),"")</f>
        <v>Netherlands</v>
      </c>
      <c r="Z10" s="20">
        <f ca="1">IF(ISBLANK(Y10),"-",_xlfn.XLOOKUP(Y10,$B$3:$B$274,$C$3:$C$274,0))</f>
        <v>15.95</v>
      </c>
      <c r="AA10" s="19" t="str" cm="1">
        <f t="array" aca="1" ref="AA10" ca="1">IFERROR(_xlfn._xlws.FILTER($B$3:$B$274,$D$3:$D$274=AA9),"")</f>
        <v/>
      </c>
      <c r="AB10" s="20">
        <f ca="1">IF(ISBLANK(AA10),"-",_xlfn.XLOOKUP(AA10,$B$3:$B$274,$C$3:$C$274,0))</f>
        <v>0</v>
      </c>
      <c r="AC10" s="19" t="str" cm="1">
        <f t="array" aca="1" ref="AC10" ca="1">IFERROR(_xlfn._xlws.FILTER($B$3:$B$274,$D$3:$D$274=AC9),"")</f>
        <v/>
      </c>
      <c r="AD10" s="20">
        <f ca="1">IF(ISBLANK(AC10),"-",_xlfn.XLOOKUP(AC10,$B$3:$B$274,$C$3:$C$274,0))</f>
        <v>0</v>
      </c>
      <c r="AE10" s="19" t="str" cm="1">
        <f t="array" aca="1" ref="AE10" ca="1">IFERROR(_xlfn._xlws.FILTER($B$3:$B$274,$D$3:$D$274=AE9),"")</f>
        <v/>
      </c>
      <c r="AF10" s="20">
        <f ca="1">IF(ISBLANK(AE10),"-",_xlfn.XLOOKUP(AE10,$B$3:$B$274,$C$3:$C$274,0))</f>
        <v>0</v>
      </c>
      <c r="AG10" s="19" t="str" cm="1">
        <f t="array" aca="1" ref="AG10" ca="1">IFERROR(_xlfn._xlws.FILTER($B$3:$B$274,$D$3:$D$274=AG9),"")</f>
        <v/>
      </c>
      <c r="AH10" s="20">
        <f ca="1">IF(ISBLANK(AG10),"-",_xlfn.XLOOKUP(AG10,$B$3:$B$274,$C$3:$C$274,0))</f>
        <v>0</v>
      </c>
      <c r="AI10" s="19" t="str" cm="1">
        <f t="array" aca="1" ref="AI10" ca="1">IFERROR(_xlfn._xlws.FILTER($B$3:$B$274,$D$3:$D$274=AI9),"")</f>
        <v/>
      </c>
      <c r="AJ10" s="20">
        <f ca="1">IF(ISBLANK(AI10),"-",_xlfn.XLOOKUP(AI10,$B$3:$B$274,$C$3:$C$274,0))</f>
        <v>0</v>
      </c>
      <c r="AK10" s="19" t="str" cm="1">
        <f t="array" aca="1" ref="AK10" ca="1">IFERROR(_xlfn._xlws.FILTER($B$3:$B$274,$D$3:$D$274=AK9),"")</f>
        <v/>
      </c>
      <c r="AL10" s="20">
        <f ca="1">IF(ISBLANK(AK10),"-",_xlfn.XLOOKUP(AK10,$B$3:$B$274,$C$3:$C$274,0))</f>
        <v>0</v>
      </c>
      <c r="AM10" s="19" t="str" cm="1">
        <f t="array" aca="1" ref="AM10" ca="1">IFERROR(_xlfn._xlws.FILTER($B$3:$B$274,$D$3:$D$274=AM9),"")</f>
        <v/>
      </c>
      <c r="AN10" s="20">
        <f ca="1">IF(ISBLANK(AM10),"-",_xlfn.XLOOKUP(AM10,$B$3:$B$274,$C$3:$C$274,0))</f>
        <v>0</v>
      </c>
      <c r="AO10" s="19" t="str" cm="1">
        <f t="array" aca="1" ref="AO10" ca="1">IFERROR(_xlfn._xlws.FILTER($B$3:$B$274,$D$3:$D$274=AO9),"")</f>
        <v/>
      </c>
      <c r="AP10" s="20">
        <f ca="1">IF(ISBLANK(AO10),"-",_xlfn.XLOOKUP(AO10,$B$3:$B$274,$C$3:$C$274,0))</f>
        <v>0</v>
      </c>
      <c r="AQ10" s="19" t="str" cm="1">
        <f t="array" aca="1" ref="AQ10" ca="1">IFERROR(_xlfn._xlws.FILTER($B$3:$B$274,$D$3:$D$274=AQ9),"")</f>
        <v/>
      </c>
      <c r="AR10" s="20">
        <f ca="1">IF(ISBLANK(AQ10),"-",_xlfn.XLOOKUP(AQ10,$B$3:$B$274,$C$3:$C$274,0))</f>
        <v>0</v>
      </c>
      <c r="AS10" s="19" t="str" cm="1">
        <f t="array" aca="1" ref="AS10" ca="1">IFERROR(_xlfn._xlws.FILTER($B$3:$B$274,$D$3:$D$274=AS9),"")</f>
        <v/>
      </c>
      <c r="AT10" s="20">
        <f ca="1">IF(ISBLANK(AS10),"-",_xlfn.XLOOKUP(AS10,$B$3:$B$274,$C$3:$C$274,0))</f>
        <v>0</v>
      </c>
      <c r="AU10" s="19" t="str" cm="1">
        <f t="array" aca="1" ref="AU10" ca="1">IFERROR(_xlfn._xlws.FILTER($B$3:$B$274,$D$3:$D$274=AU9),"")</f>
        <v/>
      </c>
      <c r="AV10" s="20">
        <f ca="1">IF(ISBLANK(AU10),"-",_xlfn.XLOOKUP(AU10,$B$3:$B$274,$C$3:$C$274,0))</f>
        <v>0</v>
      </c>
      <c r="AW10" s="19" t="str" cm="1">
        <f t="array" aca="1" ref="AW10" ca="1">IFERROR(_xlfn._xlws.FILTER($B$3:$B$274,$D$3:$D$274=AW9),"")</f>
        <v/>
      </c>
      <c r="AX10" s="20">
        <f ca="1">IF(ISBLANK(AW10),"-",_xlfn.XLOOKUP(AW10,$B$3:$B$274,$C$3:$C$274,0))</f>
        <v>0</v>
      </c>
      <c r="AY10" s="19" t="str" cm="1">
        <f t="array" aca="1" ref="AY10" ca="1">IFERROR(_xlfn._xlws.FILTER($B$3:$B$274,$D$3:$D$274=AY9),"")</f>
        <v/>
      </c>
      <c r="AZ10" s="20">
        <f ca="1">IF(ISBLANK(AY10),"-",_xlfn.XLOOKUP(AY10,$B$3:$B$274,$C$3:$C$274,0))</f>
        <v>0</v>
      </c>
      <c r="BA10" s="19" t="str" cm="1">
        <f t="array" aca="1" ref="BA10" ca="1">IFERROR(_xlfn._xlws.FILTER($B$3:$B$274,$D$3:$D$274=BA9),"")</f>
        <v/>
      </c>
      <c r="BB10" s="20">
        <f ca="1">IF(ISBLANK(BA10),"-",_xlfn.XLOOKUP(BA10,$B$3:$B$274,$C$3:$C$274,0))</f>
        <v>0</v>
      </c>
      <c r="BC10" s="19" t="str" cm="1">
        <f t="array" aca="1" ref="BC10" ca="1">IFERROR(_xlfn._xlws.FILTER($B$3:$B$274,$D$3:$D$274=BC9),"")</f>
        <v/>
      </c>
      <c r="BD10" s="20">
        <f ca="1">IF(ISBLANK(BC10),"-",_xlfn.XLOOKUP(BC10,$B$3:$B$274,$C$3:$C$274,0))</f>
        <v>0</v>
      </c>
      <c r="BM10" s="2">
        <v>7</v>
      </c>
      <c r="BN10" s="2" t="s">
        <v>103</v>
      </c>
    </row>
    <row r="11" spans="1:66" x14ac:dyDescent="0.25">
      <c r="A11" s="10">
        <f t="shared" si="1"/>
        <v>9</v>
      </c>
      <c r="B11" s="2" t="str">
        <v>Brazil</v>
      </c>
      <c r="C11" s="11">
        <v>6.98</v>
      </c>
      <c r="D11" s="14" t="str" cm="1">
        <f t="array" aca="1" ref="D11" ca="1">IFERROR(_xlfn.XLOOKUP(MIN(E10:INDIRECT($AA$4&amp;A11+1)),E10:INDIRECT($AA$4&amp;A11+1),$E$2:INDIRECT($AA$4&amp;"$2")),"-")</f>
        <v>-</v>
      </c>
      <c r="E11" s="10" t="str">
        <f ca="1">IF(E$1&gt;$Z$4,"-",IF(COUNTIF($D$3:$D11,E$2)=$Z$3,"Full",SUMIFS($C$3:$C11,$D$3:$D11,E$2)))</f>
        <v>Full</v>
      </c>
      <c r="F11" s="2" t="str">
        <f>IF(F$1&gt;$Z$4,"-",IF(COUNTIF($D$3:$D11,F$2)=$Z$3,"Full",SUMIFS($C$3:$C11,$D$3:$D11,F$2)))</f>
        <v>-</v>
      </c>
      <c r="G11" s="2" t="str">
        <f>IF(G$1&gt;$Z$4,"-",IF(COUNTIF($D$3:$D11,G$2)=$Z$3,"Full",SUMIFS($C$3:$C11,$D$3:$D11,G$2)))</f>
        <v>-</v>
      </c>
      <c r="H11" s="2" t="str">
        <f>IF(H$1&gt;$Z$4,"-",IF(COUNTIF($D$3:$D11,H$2)=$Z$3,"Full",SUMIFS($C$3:$C11,$D$3:$D11,H$2)))</f>
        <v>-</v>
      </c>
      <c r="I11" s="2" t="str">
        <f>IF(I$1&gt;$Z$4,"-",IF(COUNTIF($D$3:$D11,I$2)=$Z$3,"Full",SUMIFS($C$3:$C11,$D$3:$D11,I$2)))</f>
        <v>-</v>
      </c>
      <c r="J11" s="2" t="str">
        <f>IF(J$1&gt;$Z$4,"-",IF(COUNTIF($D$3:$D11,J$2)=$Z$3,"Full",SUMIFS($C$3:$C11,$D$3:$D11,J$2)))</f>
        <v>-</v>
      </c>
      <c r="K11" s="2" t="str">
        <f>IF(K$1&gt;$Z$4,"-",IF(COUNTIF($D$3:$D11,K$2)=$Z$3,"Full",SUMIFS($C$3:$C11,$D$3:$D11,K$2)))</f>
        <v>-</v>
      </c>
      <c r="L11" s="2" t="str">
        <f>IF(L$1&gt;$Z$4,"-",IF(COUNTIF($D$3:$D11,L$2)=$Z$3,"Full",SUMIFS($C$3:$C11,$D$3:$D11,L$2)))</f>
        <v>-</v>
      </c>
      <c r="M11" s="2" t="str">
        <f>IF(M$1&gt;$Z$4,"-",IF(COUNTIF($D$3:$D11,M$2)=$Z$3,"Full",SUMIFS($C$3:$C11,$D$3:$D11,M$2)))</f>
        <v>-</v>
      </c>
      <c r="N11" s="2" t="str">
        <f>IF(N$1&gt;$Z$4,"-",IF(COUNTIF($D$3:$D11,N$2)=$Z$3,"Full",SUMIFS($C$3:$C11,$D$3:$D11,N$2)))</f>
        <v>-</v>
      </c>
      <c r="O11" s="2" t="str">
        <f>IF(O$1&gt;$Z$4,"-",IF(COUNTIF($D$3:$D11,O$2)=$Z$3,"Full",SUMIFS($C$3:$C11,$D$3:$D11,O$2)))</f>
        <v>-</v>
      </c>
      <c r="P11" s="2" t="str">
        <f>IF(P$1&gt;$Z$4,"-",IF(COUNTIF($D$3:$D11,P$2)=$Z$3,"Full",SUMIFS($C$3:$C11,$D$3:$D11,P$2)))</f>
        <v>-</v>
      </c>
      <c r="Q11" s="2" t="str">
        <f>IF(Q$1&gt;$Z$4,"-",IF(COUNTIF($D$3:$D11,Q$2)=$Z$3,"Full",SUMIFS($C$3:$C11,$D$3:$D11,Q$2)))</f>
        <v>-</v>
      </c>
      <c r="R11" s="2" t="str">
        <f>IF(R$1&gt;$Z$4,"-",IF(COUNTIF($D$3:$D11,R$2)=$Z$3,"Full",SUMIFS($C$3:$C11,$D$3:$D11,R$2)))</f>
        <v>-</v>
      </c>
      <c r="S11" s="2" t="str">
        <f>IF(S$1&gt;$Z$4,"-",IF(COUNTIF($D$3:$D11,S$2)=$Z$3,"Full",SUMIFS($C$3:$C11,$D$3:$D11,S$2)))</f>
        <v>-</v>
      </c>
      <c r="T11" s="11" t="str">
        <f>IF(T$1&gt;$Z$4,"-",IF(COUNTIF($D$3:$D11,T$2)=$Z$3,"Full",SUMIFS($C$3:$C11,$D$3:$D11,T$2)))</f>
        <v>-</v>
      </c>
      <c r="Y11" s="21"/>
      <c r="Z11" s="22" t="str">
        <f t="shared" ref="Z11:AB19" si="2">IF(ISBLANK(Y11),"-",_xlfn.XLOOKUP(Y11,$B$3:$B$274,$C$3:$C$274,0))</f>
        <v>-</v>
      </c>
      <c r="AA11" s="21"/>
      <c r="AB11" s="22" t="str">
        <f t="shared" si="2"/>
        <v>-</v>
      </c>
      <c r="AC11" s="21"/>
      <c r="AD11" s="22" t="str">
        <f t="shared" ref="AD11" si="3">IF(ISBLANK(AC11),"-",_xlfn.XLOOKUP(AC11,$B$3:$B$274,$C$3:$C$274,0))</f>
        <v>-</v>
      </c>
      <c r="AE11" s="21"/>
      <c r="AF11" s="22" t="str">
        <f t="shared" ref="AF11" si="4">IF(ISBLANK(AE11),"-",_xlfn.XLOOKUP(AE11,$B$3:$B$274,$C$3:$C$274,0))</f>
        <v>-</v>
      </c>
      <c r="AG11" s="21"/>
      <c r="AH11" s="22" t="str">
        <f t="shared" ref="AH11" si="5">IF(ISBLANK(AG11),"-",_xlfn.XLOOKUP(AG11,$B$3:$B$274,$C$3:$C$274,0))</f>
        <v>-</v>
      </c>
      <c r="AI11" s="21"/>
      <c r="AJ11" s="22" t="str">
        <f t="shared" ref="AJ11" si="6">IF(ISBLANK(AI11),"-",_xlfn.XLOOKUP(AI11,$B$3:$B$274,$C$3:$C$274,0))</f>
        <v>-</v>
      </c>
      <c r="AK11" s="21"/>
      <c r="AL11" s="22" t="str">
        <f t="shared" ref="AL11" si="7">IF(ISBLANK(AK11),"-",_xlfn.XLOOKUP(AK11,$B$3:$B$274,$C$3:$C$274,0))</f>
        <v>-</v>
      </c>
      <c r="AM11" s="21"/>
      <c r="AN11" s="22" t="str">
        <f t="shared" ref="AN11" si="8">IF(ISBLANK(AM11),"-",_xlfn.XLOOKUP(AM11,$B$3:$B$274,$C$3:$C$274,0))</f>
        <v>-</v>
      </c>
      <c r="AO11" s="21"/>
      <c r="AP11" s="22" t="str">
        <f t="shared" ref="AP11" si="9">IF(ISBLANK(AO11),"-",_xlfn.XLOOKUP(AO11,$B$3:$B$274,$C$3:$C$274,0))</f>
        <v>-</v>
      </c>
      <c r="AQ11" s="21"/>
      <c r="AR11" s="22" t="str">
        <f t="shared" ref="AR11" si="10">IF(ISBLANK(AQ11),"-",_xlfn.XLOOKUP(AQ11,$B$3:$B$274,$C$3:$C$274,0))</f>
        <v>-</v>
      </c>
      <c r="AS11" s="21"/>
      <c r="AT11" s="22" t="str">
        <f t="shared" ref="AT11" si="11">IF(ISBLANK(AS11),"-",_xlfn.XLOOKUP(AS11,$B$3:$B$274,$C$3:$C$274,0))</f>
        <v>-</v>
      </c>
      <c r="AU11" s="21"/>
      <c r="AV11" s="22" t="str">
        <f t="shared" ref="AV11" si="12">IF(ISBLANK(AU11),"-",_xlfn.XLOOKUP(AU11,$B$3:$B$274,$C$3:$C$274,0))</f>
        <v>-</v>
      </c>
      <c r="AW11" s="21"/>
      <c r="AX11" s="22" t="str">
        <f t="shared" ref="AX11" si="13">IF(ISBLANK(AW11),"-",_xlfn.XLOOKUP(AW11,$B$3:$B$274,$C$3:$C$274,0))</f>
        <v>-</v>
      </c>
      <c r="AY11" s="21"/>
      <c r="AZ11" s="22" t="str">
        <f t="shared" ref="AZ11" si="14">IF(ISBLANK(AY11),"-",_xlfn.XLOOKUP(AY11,$B$3:$B$274,$C$3:$C$274,0))</f>
        <v>-</v>
      </c>
      <c r="BA11" s="21"/>
      <c r="BB11" s="22" t="str">
        <f t="shared" ref="BB11" si="15">IF(ISBLANK(BA11),"-",_xlfn.XLOOKUP(BA11,$B$3:$B$274,$C$3:$C$274,0))</f>
        <v>-</v>
      </c>
      <c r="BC11" s="21"/>
      <c r="BD11" s="22" t="str">
        <f t="shared" ref="BD11" si="16">IF(ISBLANK(BC11),"-",_xlfn.XLOOKUP(BC11,$B$3:$B$274,$C$3:$C$274,0))</f>
        <v>-</v>
      </c>
      <c r="BM11" s="2">
        <v>8</v>
      </c>
      <c r="BN11" s="2" t="s">
        <v>104</v>
      </c>
    </row>
    <row r="12" spans="1:66" x14ac:dyDescent="0.25">
      <c r="A12" s="10">
        <f t="shared" si="1"/>
        <v>10</v>
      </c>
      <c r="B12" s="2" t="str">
        <v>Canada</v>
      </c>
      <c r="C12" s="11">
        <v>5.99</v>
      </c>
      <c r="D12" s="14" t="str" cm="1">
        <f t="array" aca="1" ref="D12" ca="1">IFERROR(_xlfn.XLOOKUP(MIN(E11:INDIRECT($AA$4&amp;A12+1)),E11:INDIRECT($AA$4&amp;A12+1),$E$2:INDIRECT($AA$4&amp;"$2")),"-")</f>
        <v>-</v>
      </c>
      <c r="E12" s="10" t="str">
        <f ca="1">IF(E$1&gt;$Z$4,"-",IF(COUNTIF($D$3:$D12,E$2)=$Z$3,"Full",SUMIFS($C$3:$C12,$D$3:$D12,E$2)))</f>
        <v>Full</v>
      </c>
      <c r="F12" s="2" t="str">
        <f>IF(F$1&gt;$Z$4,"-",IF(COUNTIF($D$3:$D12,F$2)=$Z$3,"Full",SUMIFS($C$3:$C12,$D$3:$D12,F$2)))</f>
        <v>-</v>
      </c>
      <c r="G12" s="2" t="str">
        <f>IF(G$1&gt;$Z$4,"-",IF(COUNTIF($D$3:$D12,G$2)=$Z$3,"Full",SUMIFS($C$3:$C12,$D$3:$D12,G$2)))</f>
        <v>-</v>
      </c>
      <c r="H12" s="2" t="str">
        <f>IF(H$1&gt;$Z$4,"-",IF(COUNTIF($D$3:$D12,H$2)=$Z$3,"Full",SUMIFS($C$3:$C12,$D$3:$D12,H$2)))</f>
        <v>-</v>
      </c>
      <c r="I12" s="2" t="str">
        <f>IF(I$1&gt;$Z$4,"-",IF(COUNTIF($D$3:$D12,I$2)=$Z$3,"Full",SUMIFS($C$3:$C12,$D$3:$D12,I$2)))</f>
        <v>-</v>
      </c>
      <c r="J12" s="2" t="str">
        <f>IF(J$1&gt;$Z$4,"-",IF(COUNTIF($D$3:$D12,J$2)=$Z$3,"Full",SUMIFS($C$3:$C12,$D$3:$D12,J$2)))</f>
        <v>-</v>
      </c>
      <c r="K12" s="2" t="str">
        <f>IF(K$1&gt;$Z$4,"-",IF(COUNTIF($D$3:$D12,K$2)=$Z$3,"Full",SUMIFS($C$3:$C12,$D$3:$D12,K$2)))</f>
        <v>-</v>
      </c>
      <c r="L12" s="2" t="str">
        <f>IF(L$1&gt;$Z$4,"-",IF(COUNTIF($D$3:$D12,L$2)=$Z$3,"Full",SUMIFS($C$3:$C12,$D$3:$D12,L$2)))</f>
        <v>-</v>
      </c>
      <c r="M12" s="2" t="str">
        <f>IF(M$1&gt;$Z$4,"-",IF(COUNTIF($D$3:$D12,M$2)=$Z$3,"Full",SUMIFS($C$3:$C12,$D$3:$D12,M$2)))</f>
        <v>-</v>
      </c>
      <c r="N12" s="2" t="str">
        <f>IF(N$1&gt;$Z$4,"-",IF(COUNTIF($D$3:$D12,N$2)=$Z$3,"Full",SUMIFS($C$3:$C12,$D$3:$D12,N$2)))</f>
        <v>-</v>
      </c>
      <c r="O12" s="2" t="str">
        <f>IF(O$1&gt;$Z$4,"-",IF(COUNTIF($D$3:$D12,O$2)=$Z$3,"Full",SUMIFS($C$3:$C12,$D$3:$D12,O$2)))</f>
        <v>-</v>
      </c>
      <c r="P12" s="2" t="str">
        <f>IF(P$1&gt;$Z$4,"-",IF(COUNTIF($D$3:$D12,P$2)=$Z$3,"Full",SUMIFS($C$3:$C12,$D$3:$D12,P$2)))</f>
        <v>-</v>
      </c>
      <c r="Q12" s="2" t="str">
        <f>IF(Q$1&gt;$Z$4,"-",IF(COUNTIF($D$3:$D12,Q$2)=$Z$3,"Full",SUMIFS($C$3:$C12,$D$3:$D12,Q$2)))</f>
        <v>-</v>
      </c>
      <c r="R12" s="2" t="str">
        <f>IF(R$1&gt;$Z$4,"-",IF(COUNTIF($D$3:$D12,R$2)=$Z$3,"Full",SUMIFS($C$3:$C12,$D$3:$D12,R$2)))</f>
        <v>-</v>
      </c>
      <c r="S12" s="2" t="str">
        <f>IF(S$1&gt;$Z$4,"-",IF(COUNTIF($D$3:$D12,S$2)=$Z$3,"Full",SUMIFS($C$3:$C12,$D$3:$D12,S$2)))</f>
        <v>-</v>
      </c>
      <c r="T12" s="11" t="str">
        <f>IF(T$1&gt;$Z$4,"-",IF(COUNTIF($D$3:$D12,T$2)=$Z$3,"Full",SUMIFS($C$3:$C12,$D$3:$D12,T$2)))</f>
        <v>-</v>
      </c>
      <c r="Y12" s="21"/>
      <c r="Z12" s="22" t="str">
        <f t="shared" si="2"/>
        <v>-</v>
      </c>
      <c r="AA12" s="21"/>
      <c r="AB12" s="22" t="str">
        <f t="shared" si="2"/>
        <v>-</v>
      </c>
      <c r="AC12" s="21"/>
      <c r="AD12" s="22" t="str">
        <f t="shared" ref="AD12" si="17">IF(ISBLANK(AC12),"-",_xlfn.XLOOKUP(AC12,$B$3:$B$274,$C$3:$C$274,0))</f>
        <v>-</v>
      </c>
      <c r="AE12" s="21"/>
      <c r="AF12" s="22" t="str">
        <f t="shared" ref="AF12" si="18">IF(ISBLANK(AE12),"-",_xlfn.XLOOKUP(AE12,$B$3:$B$274,$C$3:$C$274,0))</f>
        <v>-</v>
      </c>
      <c r="AG12" s="21"/>
      <c r="AH12" s="22" t="str">
        <f t="shared" ref="AH12" si="19">IF(ISBLANK(AG12),"-",_xlfn.XLOOKUP(AG12,$B$3:$B$274,$C$3:$C$274,0))</f>
        <v>-</v>
      </c>
      <c r="AI12" s="21"/>
      <c r="AJ12" s="22" t="str">
        <f t="shared" ref="AJ12" si="20">IF(ISBLANK(AI12),"-",_xlfn.XLOOKUP(AI12,$B$3:$B$274,$C$3:$C$274,0))</f>
        <v>-</v>
      </c>
      <c r="AK12" s="21"/>
      <c r="AL12" s="22" t="str">
        <f t="shared" ref="AL12" si="21">IF(ISBLANK(AK12),"-",_xlfn.XLOOKUP(AK12,$B$3:$B$274,$C$3:$C$274,0))</f>
        <v>-</v>
      </c>
      <c r="AM12" s="21"/>
      <c r="AN12" s="22" t="str">
        <f t="shared" ref="AN12" si="22">IF(ISBLANK(AM12),"-",_xlfn.XLOOKUP(AM12,$B$3:$B$274,$C$3:$C$274,0))</f>
        <v>-</v>
      </c>
      <c r="AO12" s="21"/>
      <c r="AP12" s="22" t="str">
        <f t="shared" ref="AP12" si="23">IF(ISBLANK(AO12),"-",_xlfn.XLOOKUP(AO12,$B$3:$B$274,$C$3:$C$274,0))</f>
        <v>-</v>
      </c>
      <c r="AQ12" s="21"/>
      <c r="AR12" s="22" t="str">
        <f t="shared" ref="AR12" si="24">IF(ISBLANK(AQ12),"-",_xlfn.XLOOKUP(AQ12,$B$3:$B$274,$C$3:$C$274,0))</f>
        <v>-</v>
      </c>
      <c r="AS12" s="21"/>
      <c r="AT12" s="22" t="str">
        <f t="shared" ref="AT12" si="25">IF(ISBLANK(AS12),"-",_xlfn.XLOOKUP(AS12,$B$3:$B$274,$C$3:$C$274,0))</f>
        <v>-</v>
      </c>
      <c r="AU12" s="21"/>
      <c r="AV12" s="22" t="str">
        <f t="shared" ref="AV12" si="26">IF(ISBLANK(AU12),"-",_xlfn.XLOOKUP(AU12,$B$3:$B$274,$C$3:$C$274,0))</f>
        <v>-</v>
      </c>
      <c r="AW12" s="21"/>
      <c r="AX12" s="22" t="str">
        <f t="shared" ref="AX12" si="27">IF(ISBLANK(AW12),"-",_xlfn.XLOOKUP(AW12,$B$3:$B$274,$C$3:$C$274,0))</f>
        <v>-</v>
      </c>
      <c r="AY12" s="21"/>
      <c r="AZ12" s="22" t="str">
        <f t="shared" ref="AZ12" si="28">IF(ISBLANK(AY12),"-",_xlfn.XLOOKUP(AY12,$B$3:$B$274,$C$3:$C$274,0))</f>
        <v>-</v>
      </c>
      <c r="BA12" s="21"/>
      <c r="BB12" s="22" t="str">
        <f t="shared" ref="BB12" si="29">IF(ISBLANK(BA12),"-",_xlfn.XLOOKUP(BA12,$B$3:$B$274,$C$3:$C$274,0))</f>
        <v>-</v>
      </c>
      <c r="BC12" s="21"/>
      <c r="BD12" s="22" t="str">
        <f t="shared" ref="BD12" si="30">IF(ISBLANK(BC12),"-",_xlfn.XLOOKUP(BC12,$B$3:$B$274,$C$3:$C$274,0))</f>
        <v>-</v>
      </c>
      <c r="BM12" s="2">
        <v>9</v>
      </c>
      <c r="BN12" s="2" t="s">
        <v>105</v>
      </c>
    </row>
    <row r="13" spans="1:66" x14ac:dyDescent="0.25">
      <c r="A13" s="10">
        <f t="shared" si="1"/>
        <v>11</v>
      </c>
      <c r="B13" s="2" t="str">
        <v>Cuba</v>
      </c>
      <c r="C13" s="11">
        <v>5.83</v>
      </c>
      <c r="D13" s="14" t="str" cm="1">
        <f t="array" aca="1" ref="D13" ca="1">IFERROR(_xlfn.XLOOKUP(MIN(E12:INDIRECT($AA$4&amp;A13+1)),E12:INDIRECT($AA$4&amp;A13+1),$E$2:INDIRECT($AA$4&amp;"$2")),"-")</f>
        <v>-</v>
      </c>
      <c r="E13" s="10" t="str">
        <f ca="1">IF(E$1&gt;$Z$4,"-",IF(COUNTIF($D$3:$D13,E$2)=$Z$3,"Full",SUMIFS($C$3:$C13,$D$3:$D13,E$2)))</f>
        <v>Full</v>
      </c>
      <c r="F13" s="2" t="str">
        <f>IF(F$1&gt;$Z$4,"-",IF(COUNTIF($D$3:$D13,F$2)=$Z$3,"Full",SUMIFS($C$3:$C13,$D$3:$D13,F$2)))</f>
        <v>-</v>
      </c>
      <c r="G13" s="2" t="str">
        <f>IF(G$1&gt;$Z$4,"-",IF(COUNTIF($D$3:$D13,G$2)=$Z$3,"Full",SUMIFS($C$3:$C13,$D$3:$D13,G$2)))</f>
        <v>-</v>
      </c>
      <c r="H13" s="2" t="str">
        <f>IF(H$1&gt;$Z$4,"-",IF(COUNTIF($D$3:$D13,H$2)=$Z$3,"Full",SUMIFS($C$3:$C13,$D$3:$D13,H$2)))</f>
        <v>-</v>
      </c>
      <c r="I13" s="2" t="str">
        <f>IF(I$1&gt;$Z$4,"-",IF(COUNTIF($D$3:$D13,I$2)=$Z$3,"Full",SUMIFS($C$3:$C13,$D$3:$D13,I$2)))</f>
        <v>-</v>
      </c>
      <c r="J13" s="2" t="str">
        <f>IF(J$1&gt;$Z$4,"-",IF(COUNTIF($D$3:$D13,J$2)=$Z$3,"Full",SUMIFS($C$3:$C13,$D$3:$D13,J$2)))</f>
        <v>-</v>
      </c>
      <c r="K13" s="2" t="str">
        <f>IF(K$1&gt;$Z$4,"-",IF(COUNTIF($D$3:$D13,K$2)=$Z$3,"Full",SUMIFS($C$3:$C13,$D$3:$D13,K$2)))</f>
        <v>-</v>
      </c>
      <c r="L13" s="2" t="str">
        <f>IF(L$1&gt;$Z$4,"-",IF(COUNTIF($D$3:$D13,L$2)=$Z$3,"Full",SUMIFS($C$3:$C13,$D$3:$D13,L$2)))</f>
        <v>-</v>
      </c>
      <c r="M13" s="2" t="str">
        <f>IF(M$1&gt;$Z$4,"-",IF(COUNTIF($D$3:$D13,M$2)=$Z$3,"Full",SUMIFS($C$3:$C13,$D$3:$D13,M$2)))</f>
        <v>-</v>
      </c>
      <c r="N13" s="2" t="str">
        <f>IF(N$1&gt;$Z$4,"-",IF(COUNTIF($D$3:$D13,N$2)=$Z$3,"Full",SUMIFS($C$3:$C13,$D$3:$D13,N$2)))</f>
        <v>-</v>
      </c>
      <c r="O13" s="2" t="str">
        <f>IF(O$1&gt;$Z$4,"-",IF(COUNTIF($D$3:$D13,O$2)=$Z$3,"Full",SUMIFS($C$3:$C13,$D$3:$D13,O$2)))</f>
        <v>-</v>
      </c>
      <c r="P13" s="2" t="str">
        <f>IF(P$1&gt;$Z$4,"-",IF(COUNTIF($D$3:$D13,P$2)=$Z$3,"Full",SUMIFS($C$3:$C13,$D$3:$D13,P$2)))</f>
        <v>-</v>
      </c>
      <c r="Q13" s="2" t="str">
        <f>IF(Q$1&gt;$Z$4,"-",IF(COUNTIF($D$3:$D13,Q$2)=$Z$3,"Full",SUMIFS($C$3:$C13,$D$3:$D13,Q$2)))</f>
        <v>-</v>
      </c>
      <c r="R13" s="2" t="str">
        <f>IF(R$1&gt;$Z$4,"-",IF(COUNTIF($D$3:$D13,R$2)=$Z$3,"Full",SUMIFS($C$3:$C13,$D$3:$D13,R$2)))</f>
        <v>-</v>
      </c>
      <c r="S13" s="2" t="str">
        <f>IF(S$1&gt;$Z$4,"-",IF(COUNTIF($D$3:$D13,S$2)=$Z$3,"Full",SUMIFS($C$3:$C13,$D$3:$D13,S$2)))</f>
        <v>-</v>
      </c>
      <c r="T13" s="11" t="str">
        <f>IF(T$1&gt;$Z$4,"-",IF(COUNTIF($D$3:$D13,T$2)=$Z$3,"Full",SUMIFS($C$3:$C13,$D$3:$D13,T$2)))</f>
        <v>-</v>
      </c>
      <c r="Y13" s="21"/>
      <c r="Z13" s="22" t="str">
        <f t="shared" si="2"/>
        <v>-</v>
      </c>
      <c r="AA13" s="21"/>
      <c r="AB13" s="22" t="str">
        <f t="shared" si="2"/>
        <v>-</v>
      </c>
      <c r="AC13" s="21"/>
      <c r="AD13" s="22" t="str">
        <f t="shared" ref="AD13" si="31">IF(ISBLANK(AC13),"-",_xlfn.XLOOKUP(AC13,$B$3:$B$274,$C$3:$C$274,0))</f>
        <v>-</v>
      </c>
      <c r="AE13" s="21"/>
      <c r="AF13" s="22" t="str">
        <f t="shared" ref="AF13" si="32">IF(ISBLANK(AE13),"-",_xlfn.XLOOKUP(AE13,$B$3:$B$274,$C$3:$C$274,0))</f>
        <v>-</v>
      </c>
      <c r="AG13" s="21"/>
      <c r="AH13" s="22" t="str">
        <f t="shared" ref="AH13" si="33">IF(ISBLANK(AG13),"-",_xlfn.XLOOKUP(AG13,$B$3:$B$274,$C$3:$C$274,0))</f>
        <v>-</v>
      </c>
      <c r="AI13" s="21"/>
      <c r="AJ13" s="22" t="str">
        <f t="shared" ref="AJ13" si="34">IF(ISBLANK(AI13),"-",_xlfn.XLOOKUP(AI13,$B$3:$B$274,$C$3:$C$274,0))</f>
        <v>-</v>
      </c>
      <c r="AK13" s="21"/>
      <c r="AL13" s="22" t="str">
        <f t="shared" ref="AL13" si="35">IF(ISBLANK(AK13),"-",_xlfn.XLOOKUP(AK13,$B$3:$B$274,$C$3:$C$274,0))</f>
        <v>-</v>
      </c>
      <c r="AM13" s="21"/>
      <c r="AN13" s="22" t="str">
        <f t="shared" ref="AN13" si="36">IF(ISBLANK(AM13),"-",_xlfn.XLOOKUP(AM13,$B$3:$B$274,$C$3:$C$274,0))</f>
        <v>-</v>
      </c>
      <c r="AO13" s="21"/>
      <c r="AP13" s="22" t="str">
        <f t="shared" ref="AP13" si="37">IF(ISBLANK(AO13),"-",_xlfn.XLOOKUP(AO13,$B$3:$B$274,$C$3:$C$274,0))</f>
        <v>-</v>
      </c>
      <c r="AQ13" s="21"/>
      <c r="AR13" s="22" t="str">
        <f t="shared" ref="AR13" si="38">IF(ISBLANK(AQ13),"-",_xlfn.XLOOKUP(AQ13,$B$3:$B$274,$C$3:$C$274,0))</f>
        <v>-</v>
      </c>
      <c r="AS13" s="21"/>
      <c r="AT13" s="22" t="str">
        <f t="shared" ref="AT13" si="39">IF(ISBLANK(AS13),"-",_xlfn.XLOOKUP(AS13,$B$3:$B$274,$C$3:$C$274,0))</f>
        <v>-</v>
      </c>
      <c r="AU13" s="21"/>
      <c r="AV13" s="22" t="str">
        <f t="shared" ref="AV13" si="40">IF(ISBLANK(AU13),"-",_xlfn.XLOOKUP(AU13,$B$3:$B$274,$C$3:$C$274,0))</f>
        <v>-</v>
      </c>
      <c r="AW13" s="21"/>
      <c r="AX13" s="22" t="str">
        <f t="shared" ref="AX13" si="41">IF(ISBLANK(AW13),"-",_xlfn.XLOOKUP(AW13,$B$3:$B$274,$C$3:$C$274,0))</f>
        <v>-</v>
      </c>
      <c r="AY13" s="21"/>
      <c r="AZ13" s="22" t="str">
        <f t="shared" ref="AZ13" si="42">IF(ISBLANK(AY13),"-",_xlfn.XLOOKUP(AY13,$B$3:$B$274,$C$3:$C$274,0))</f>
        <v>-</v>
      </c>
      <c r="BA13" s="21"/>
      <c r="BB13" s="22" t="str">
        <f t="shared" ref="BB13" si="43">IF(ISBLANK(BA13),"-",_xlfn.XLOOKUP(BA13,$B$3:$B$274,$C$3:$C$274,0))</f>
        <v>-</v>
      </c>
      <c r="BC13" s="21"/>
      <c r="BD13" s="22" t="str">
        <f t="shared" ref="BD13" si="44">IF(ISBLANK(BC13),"-",_xlfn.XLOOKUP(BC13,$B$3:$B$274,$C$3:$C$274,0))</f>
        <v>-</v>
      </c>
      <c r="BM13" s="2">
        <v>10</v>
      </c>
      <c r="BN13" s="2" t="s">
        <v>106</v>
      </c>
    </row>
    <row r="14" spans="1:66" x14ac:dyDescent="0.25">
      <c r="A14" s="10">
        <f t="shared" si="1"/>
        <v>12</v>
      </c>
      <c r="B14" s="2" t="str">
        <v>Sweden</v>
      </c>
      <c r="C14" s="11">
        <v>4.97</v>
      </c>
      <c r="D14" s="14" t="str" cm="1">
        <f t="array" aca="1" ref="D14" ca="1">IFERROR(_xlfn.XLOOKUP(MIN(E13:INDIRECT($AA$4&amp;A14+1)),E13:INDIRECT($AA$4&amp;A14+1),$E$2:INDIRECT($AA$4&amp;"$2")),"-")</f>
        <v>-</v>
      </c>
      <c r="E14" s="10" t="str">
        <f ca="1">IF(E$1&gt;$Z$4,"-",IF(COUNTIF($D$3:$D14,E$2)=$Z$3,"Full",SUMIFS($C$3:$C14,$D$3:$D14,E$2)))</f>
        <v>Full</v>
      </c>
      <c r="F14" s="2" t="str">
        <f>IF(F$1&gt;$Z$4,"-",IF(COUNTIF($D$3:$D14,F$2)=$Z$3,"Full",SUMIFS($C$3:$C14,$D$3:$D14,F$2)))</f>
        <v>-</v>
      </c>
      <c r="G14" s="2" t="str">
        <f>IF(G$1&gt;$Z$4,"-",IF(COUNTIF($D$3:$D14,G$2)=$Z$3,"Full",SUMIFS($C$3:$C14,$D$3:$D14,G$2)))</f>
        <v>-</v>
      </c>
      <c r="H14" s="2" t="str">
        <f>IF(H$1&gt;$Z$4,"-",IF(COUNTIF($D$3:$D14,H$2)=$Z$3,"Full",SUMIFS($C$3:$C14,$D$3:$D14,H$2)))</f>
        <v>-</v>
      </c>
      <c r="I14" s="2" t="str">
        <f>IF(I$1&gt;$Z$4,"-",IF(COUNTIF($D$3:$D14,I$2)=$Z$3,"Full",SUMIFS($C$3:$C14,$D$3:$D14,I$2)))</f>
        <v>-</v>
      </c>
      <c r="J14" s="2" t="str">
        <f>IF(J$1&gt;$Z$4,"-",IF(COUNTIF($D$3:$D14,J$2)=$Z$3,"Full",SUMIFS($C$3:$C14,$D$3:$D14,J$2)))</f>
        <v>-</v>
      </c>
      <c r="K14" s="2" t="str">
        <f>IF(K$1&gt;$Z$4,"-",IF(COUNTIF($D$3:$D14,K$2)=$Z$3,"Full",SUMIFS($C$3:$C14,$D$3:$D14,K$2)))</f>
        <v>-</v>
      </c>
      <c r="L14" s="2" t="str">
        <f>IF(L$1&gt;$Z$4,"-",IF(COUNTIF($D$3:$D14,L$2)=$Z$3,"Full",SUMIFS($C$3:$C14,$D$3:$D14,L$2)))</f>
        <v>-</v>
      </c>
      <c r="M14" s="2" t="str">
        <f>IF(M$1&gt;$Z$4,"-",IF(COUNTIF($D$3:$D14,M$2)=$Z$3,"Full",SUMIFS($C$3:$C14,$D$3:$D14,M$2)))</f>
        <v>-</v>
      </c>
      <c r="N14" s="2" t="str">
        <f>IF(N$1&gt;$Z$4,"-",IF(COUNTIF($D$3:$D14,N$2)=$Z$3,"Full",SUMIFS($C$3:$C14,$D$3:$D14,N$2)))</f>
        <v>-</v>
      </c>
      <c r="O14" s="2" t="str">
        <f>IF(O$1&gt;$Z$4,"-",IF(COUNTIF($D$3:$D14,O$2)=$Z$3,"Full",SUMIFS($C$3:$C14,$D$3:$D14,O$2)))</f>
        <v>-</v>
      </c>
      <c r="P14" s="2" t="str">
        <f>IF(P$1&gt;$Z$4,"-",IF(COUNTIF($D$3:$D14,P$2)=$Z$3,"Full",SUMIFS($C$3:$C14,$D$3:$D14,P$2)))</f>
        <v>-</v>
      </c>
      <c r="Q14" s="2" t="str">
        <f>IF(Q$1&gt;$Z$4,"-",IF(COUNTIF($D$3:$D14,Q$2)=$Z$3,"Full",SUMIFS($C$3:$C14,$D$3:$D14,Q$2)))</f>
        <v>-</v>
      </c>
      <c r="R14" s="2" t="str">
        <f>IF(R$1&gt;$Z$4,"-",IF(COUNTIF($D$3:$D14,R$2)=$Z$3,"Full",SUMIFS($C$3:$C14,$D$3:$D14,R$2)))</f>
        <v>-</v>
      </c>
      <c r="S14" s="2" t="str">
        <f>IF(S$1&gt;$Z$4,"-",IF(COUNTIF($D$3:$D14,S$2)=$Z$3,"Full",SUMIFS($C$3:$C14,$D$3:$D14,S$2)))</f>
        <v>-</v>
      </c>
      <c r="T14" s="11" t="str">
        <f>IF(T$1&gt;$Z$4,"-",IF(COUNTIF($D$3:$D14,T$2)=$Z$3,"Full",SUMIFS($C$3:$C14,$D$3:$D14,T$2)))</f>
        <v>-</v>
      </c>
      <c r="Y14" s="21"/>
      <c r="Z14" s="22" t="str">
        <f t="shared" si="2"/>
        <v>-</v>
      </c>
      <c r="AA14" s="21"/>
      <c r="AB14" s="22" t="str">
        <f t="shared" si="2"/>
        <v>-</v>
      </c>
      <c r="AC14" s="21"/>
      <c r="AD14" s="22" t="str">
        <f t="shared" ref="AD14" si="45">IF(ISBLANK(AC14),"-",_xlfn.XLOOKUP(AC14,$B$3:$B$274,$C$3:$C$274,0))</f>
        <v>-</v>
      </c>
      <c r="AE14" s="21"/>
      <c r="AF14" s="22" t="str">
        <f t="shared" ref="AF14" si="46">IF(ISBLANK(AE14),"-",_xlfn.XLOOKUP(AE14,$B$3:$B$274,$C$3:$C$274,0))</f>
        <v>-</v>
      </c>
      <c r="AG14" s="21"/>
      <c r="AH14" s="22" t="str">
        <f t="shared" ref="AH14" si="47">IF(ISBLANK(AG14),"-",_xlfn.XLOOKUP(AG14,$B$3:$B$274,$C$3:$C$274,0))</f>
        <v>-</v>
      </c>
      <c r="AI14" s="21"/>
      <c r="AJ14" s="22" t="str">
        <f t="shared" ref="AJ14" si="48">IF(ISBLANK(AI14),"-",_xlfn.XLOOKUP(AI14,$B$3:$B$274,$C$3:$C$274,0))</f>
        <v>-</v>
      </c>
      <c r="AK14" s="21"/>
      <c r="AL14" s="22" t="str">
        <f t="shared" ref="AL14" si="49">IF(ISBLANK(AK14),"-",_xlfn.XLOOKUP(AK14,$B$3:$B$274,$C$3:$C$274,0))</f>
        <v>-</v>
      </c>
      <c r="AM14" s="21"/>
      <c r="AN14" s="22" t="str">
        <f t="shared" ref="AN14" si="50">IF(ISBLANK(AM14),"-",_xlfn.XLOOKUP(AM14,$B$3:$B$274,$C$3:$C$274,0))</f>
        <v>-</v>
      </c>
      <c r="AO14" s="21"/>
      <c r="AP14" s="22" t="str">
        <f t="shared" ref="AP14" si="51">IF(ISBLANK(AO14),"-",_xlfn.XLOOKUP(AO14,$B$3:$B$274,$C$3:$C$274,0))</f>
        <v>-</v>
      </c>
      <c r="AQ14" s="21"/>
      <c r="AR14" s="22" t="str">
        <f t="shared" ref="AR14" si="52">IF(ISBLANK(AQ14),"-",_xlfn.XLOOKUP(AQ14,$B$3:$B$274,$C$3:$C$274,0))</f>
        <v>-</v>
      </c>
      <c r="AS14" s="21"/>
      <c r="AT14" s="22" t="str">
        <f t="shared" ref="AT14" si="53">IF(ISBLANK(AS14),"-",_xlfn.XLOOKUP(AS14,$B$3:$B$274,$C$3:$C$274,0))</f>
        <v>-</v>
      </c>
      <c r="AU14" s="21"/>
      <c r="AV14" s="22" t="str">
        <f t="shared" ref="AV14" si="54">IF(ISBLANK(AU14),"-",_xlfn.XLOOKUP(AU14,$B$3:$B$274,$C$3:$C$274,0))</f>
        <v>-</v>
      </c>
      <c r="AW14" s="21"/>
      <c r="AX14" s="22" t="str">
        <f t="shared" ref="AX14" si="55">IF(ISBLANK(AW14),"-",_xlfn.XLOOKUP(AW14,$B$3:$B$274,$C$3:$C$274,0))</f>
        <v>-</v>
      </c>
      <c r="AY14" s="21"/>
      <c r="AZ14" s="22" t="str">
        <f t="shared" ref="AZ14" si="56">IF(ISBLANK(AY14),"-",_xlfn.XLOOKUP(AY14,$B$3:$B$274,$C$3:$C$274,0))</f>
        <v>-</v>
      </c>
      <c r="BA14" s="21"/>
      <c r="BB14" s="22" t="str">
        <f t="shared" ref="BB14" si="57">IF(ISBLANK(BA14),"-",_xlfn.XLOOKUP(BA14,$B$3:$B$274,$C$3:$C$274,0))</f>
        <v>-</v>
      </c>
      <c r="BC14" s="21"/>
      <c r="BD14" s="22" t="str">
        <f t="shared" ref="BD14" si="58">IF(ISBLANK(BC14),"-",_xlfn.XLOOKUP(BC14,$B$3:$B$274,$C$3:$C$274,0))</f>
        <v>-</v>
      </c>
      <c r="BM14" s="2">
        <v>11</v>
      </c>
      <c r="BN14" s="2" t="s">
        <v>107</v>
      </c>
    </row>
    <row r="15" spans="1:66" x14ac:dyDescent="0.25">
      <c r="A15" s="10">
        <f t="shared" si="1"/>
        <v>13</v>
      </c>
      <c r="B15" s="2" t="str">
        <v>Poland</v>
      </c>
      <c r="C15" s="11">
        <v>4.97</v>
      </c>
      <c r="D15" s="14" t="str" cm="1">
        <f t="array" aca="1" ref="D15" ca="1">IFERROR(_xlfn.XLOOKUP(MIN(E14:INDIRECT($AA$4&amp;A15+1)),E14:INDIRECT($AA$4&amp;A15+1),$E$2:INDIRECT($AA$4&amp;"$2")),"-")</f>
        <v>-</v>
      </c>
      <c r="E15" s="10" t="str">
        <f ca="1">IF(E$1&gt;$Z$4,"-",IF(COUNTIF($D$3:$D15,E$2)=$Z$3,"Full",SUMIFS($C$3:$C15,$D$3:$D15,E$2)))</f>
        <v>Full</v>
      </c>
      <c r="F15" s="2" t="str">
        <f>IF(F$1&gt;$Z$4,"-",IF(COUNTIF($D$3:$D15,F$2)=$Z$3,"Full",SUMIFS($C$3:$C15,$D$3:$D15,F$2)))</f>
        <v>-</v>
      </c>
      <c r="G15" s="2" t="str">
        <f>IF(G$1&gt;$Z$4,"-",IF(COUNTIF($D$3:$D15,G$2)=$Z$3,"Full",SUMIFS($C$3:$C15,$D$3:$D15,G$2)))</f>
        <v>-</v>
      </c>
      <c r="H15" s="2" t="str">
        <f>IF(H$1&gt;$Z$4,"-",IF(COUNTIF($D$3:$D15,H$2)=$Z$3,"Full",SUMIFS($C$3:$C15,$D$3:$D15,H$2)))</f>
        <v>-</v>
      </c>
      <c r="I15" s="2" t="str">
        <f>IF(I$1&gt;$Z$4,"-",IF(COUNTIF($D$3:$D15,I$2)=$Z$3,"Full",SUMIFS($C$3:$C15,$D$3:$D15,I$2)))</f>
        <v>-</v>
      </c>
      <c r="J15" s="2" t="str">
        <f>IF(J$1&gt;$Z$4,"-",IF(COUNTIF($D$3:$D15,J$2)=$Z$3,"Full",SUMIFS($C$3:$C15,$D$3:$D15,J$2)))</f>
        <v>-</v>
      </c>
      <c r="K15" s="2" t="str">
        <f>IF(K$1&gt;$Z$4,"-",IF(COUNTIF($D$3:$D15,K$2)=$Z$3,"Full",SUMIFS($C$3:$C15,$D$3:$D15,K$2)))</f>
        <v>-</v>
      </c>
      <c r="L15" s="2" t="str">
        <f>IF(L$1&gt;$Z$4,"-",IF(COUNTIF($D$3:$D15,L$2)=$Z$3,"Full",SUMIFS($C$3:$C15,$D$3:$D15,L$2)))</f>
        <v>-</v>
      </c>
      <c r="M15" s="2" t="str">
        <f>IF(M$1&gt;$Z$4,"-",IF(COUNTIF($D$3:$D15,M$2)=$Z$3,"Full",SUMIFS($C$3:$C15,$D$3:$D15,M$2)))</f>
        <v>-</v>
      </c>
      <c r="N15" s="2" t="str">
        <f>IF(N$1&gt;$Z$4,"-",IF(COUNTIF($D$3:$D15,N$2)=$Z$3,"Full",SUMIFS($C$3:$C15,$D$3:$D15,N$2)))</f>
        <v>-</v>
      </c>
      <c r="O15" s="2" t="str">
        <f>IF(O$1&gt;$Z$4,"-",IF(COUNTIF($D$3:$D15,O$2)=$Z$3,"Full",SUMIFS($C$3:$C15,$D$3:$D15,O$2)))</f>
        <v>-</v>
      </c>
      <c r="P15" s="2" t="str">
        <f>IF(P$1&gt;$Z$4,"-",IF(COUNTIF($D$3:$D15,P$2)=$Z$3,"Full",SUMIFS($C$3:$C15,$D$3:$D15,P$2)))</f>
        <v>-</v>
      </c>
      <c r="Q15" s="2" t="str">
        <f>IF(Q$1&gt;$Z$4,"-",IF(COUNTIF($D$3:$D15,Q$2)=$Z$3,"Full",SUMIFS($C$3:$C15,$D$3:$D15,Q$2)))</f>
        <v>-</v>
      </c>
      <c r="R15" s="2" t="str">
        <f>IF(R$1&gt;$Z$4,"-",IF(COUNTIF($D$3:$D15,R$2)=$Z$3,"Full",SUMIFS($C$3:$C15,$D$3:$D15,R$2)))</f>
        <v>-</v>
      </c>
      <c r="S15" s="2" t="str">
        <f>IF(S$1&gt;$Z$4,"-",IF(COUNTIF($D$3:$D15,S$2)=$Z$3,"Full",SUMIFS($C$3:$C15,$D$3:$D15,S$2)))</f>
        <v>-</v>
      </c>
      <c r="T15" s="11" t="str">
        <f>IF(T$1&gt;$Z$4,"-",IF(COUNTIF($D$3:$D15,T$2)=$Z$3,"Full",SUMIFS($C$3:$C15,$D$3:$D15,T$2)))</f>
        <v>-</v>
      </c>
      <c r="Y15" s="21"/>
      <c r="Z15" s="22" t="str">
        <f t="shared" si="2"/>
        <v>-</v>
      </c>
      <c r="AA15" s="21"/>
      <c r="AB15" s="22" t="str">
        <f t="shared" si="2"/>
        <v>-</v>
      </c>
      <c r="AC15" s="21"/>
      <c r="AD15" s="22" t="str">
        <f t="shared" ref="AD15" si="59">IF(ISBLANK(AC15),"-",_xlfn.XLOOKUP(AC15,$B$3:$B$274,$C$3:$C$274,0))</f>
        <v>-</v>
      </c>
      <c r="AE15" s="21"/>
      <c r="AF15" s="22" t="str">
        <f t="shared" ref="AF15" si="60">IF(ISBLANK(AE15),"-",_xlfn.XLOOKUP(AE15,$B$3:$B$274,$C$3:$C$274,0))</f>
        <v>-</v>
      </c>
      <c r="AG15" s="21"/>
      <c r="AH15" s="22" t="str">
        <f t="shared" ref="AH15" si="61">IF(ISBLANK(AG15),"-",_xlfn.XLOOKUP(AG15,$B$3:$B$274,$C$3:$C$274,0))</f>
        <v>-</v>
      </c>
      <c r="AI15" s="21"/>
      <c r="AJ15" s="22" t="str">
        <f t="shared" ref="AJ15" si="62">IF(ISBLANK(AI15),"-",_xlfn.XLOOKUP(AI15,$B$3:$B$274,$C$3:$C$274,0))</f>
        <v>-</v>
      </c>
      <c r="AK15" s="21"/>
      <c r="AL15" s="22" t="str">
        <f t="shared" ref="AL15" si="63">IF(ISBLANK(AK15),"-",_xlfn.XLOOKUP(AK15,$B$3:$B$274,$C$3:$C$274,0))</f>
        <v>-</v>
      </c>
      <c r="AM15" s="21"/>
      <c r="AN15" s="22" t="str">
        <f t="shared" ref="AN15" si="64">IF(ISBLANK(AM15),"-",_xlfn.XLOOKUP(AM15,$B$3:$B$274,$C$3:$C$274,0))</f>
        <v>-</v>
      </c>
      <c r="AO15" s="21"/>
      <c r="AP15" s="22" t="str">
        <f t="shared" ref="AP15" si="65">IF(ISBLANK(AO15),"-",_xlfn.XLOOKUP(AO15,$B$3:$B$274,$C$3:$C$274,0))</f>
        <v>-</v>
      </c>
      <c r="AQ15" s="21"/>
      <c r="AR15" s="22" t="str">
        <f t="shared" ref="AR15" si="66">IF(ISBLANK(AQ15),"-",_xlfn.XLOOKUP(AQ15,$B$3:$B$274,$C$3:$C$274,0))</f>
        <v>-</v>
      </c>
      <c r="AS15" s="21"/>
      <c r="AT15" s="22" t="str">
        <f t="shared" ref="AT15" si="67">IF(ISBLANK(AS15),"-",_xlfn.XLOOKUP(AS15,$B$3:$B$274,$C$3:$C$274,0))</f>
        <v>-</v>
      </c>
      <c r="AU15" s="21"/>
      <c r="AV15" s="22" t="str">
        <f t="shared" ref="AV15" si="68">IF(ISBLANK(AU15),"-",_xlfn.XLOOKUP(AU15,$B$3:$B$274,$C$3:$C$274,0))</f>
        <v>-</v>
      </c>
      <c r="AW15" s="21"/>
      <c r="AX15" s="22" t="str">
        <f t="shared" ref="AX15" si="69">IF(ISBLANK(AW15),"-",_xlfn.XLOOKUP(AW15,$B$3:$B$274,$C$3:$C$274,0))</f>
        <v>-</v>
      </c>
      <c r="AY15" s="21"/>
      <c r="AZ15" s="22" t="str">
        <f t="shared" ref="AZ15" si="70">IF(ISBLANK(AY15),"-",_xlfn.XLOOKUP(AY15,$B$3:$B$274,$C$3:$C$274,0))</f>
        <v>-</v>
      </c>
      <c r="BA15" s="21"/>
      <c r="BB15" s="22" t="str">
        <f t="shared" ref="BB15" si="71">IF(ISBLANK(BA15),"-",_xlfn.XLOOKUP(BA15,$B$3:$B$274,$C$3:$C$274,0))</f>
        <v>-</v>
      </c>
      <c r="BC15" s="21"/>
      <c r="BD15" s="22" t="str">
        <f t="shared" ref="BD15" si="72">IF(ISBLANK(BC15),"-",_xlfn.XLOOKUP(BC15,$B$3:$B$274,$C$3:$C$274,0))</f>
        <v>-</v>
      </c>
      <c r="BM15" s="2">
        <v>12</v>
      </c>
      <c r="BN15" s="2" t="s">
        <v>108</v>
      </c>
    </row>
    <row r="16" spans="1:66" x14ac:dyDescent="0.25">
      <c r="A16" s="10">
        <f t="shared" si="1"/>
        <v>14</v>
      </c>
      <c r="B16" s="2" t="str">
        <v>Serbia</v>
      </c>
      <c r="C16" s="11">
        <v>4.9400000000000004</v>
      </c>
      <c r="D16" s="14" t="str" cm="1">
        <f t="array" aca="1" ref="D16" ca="1">IFERROR(_xlfn.XLOOKUP(MIN(E15:INDIRECT($AA$4&amp;A16+1)),E15:INDIRECT($AA$4&amp;A16+1),$E$2:INDIRECT($AA$4&amp;"$2")),"-")</f>
        <v>-</v>
      </c>
      <c r="E16" s="10" t="str">
        <f ca="1">IF(E$1&gt;$Z$4,"-",IF(COUNTIF($D$3:$D16,E$2)=$Z$3,"Full",SUMIFS($C$3:$C16,$D$3:$D16,E$2)))</f>
        <v>Full</v>
      </c>
      <c r="F16" s="2" t="str">
        <f>IF(F$1&gt;$Z$4,"-",IF(COUNTIF($D$3:$D16,F$2)=$Z$3,"Full",SUMIFS($C$3:$C16,$D$3:$D16,F$2)))</f>
        <v>-</v>
      </c>
      <c r="G16" s="2" t="str">
        <f>IF(G$1&gt;$Z$4,"-",IF(COUNTIF($D$3:$D16,G$2)=$Z$3,"Full",SUMIFS($C$3:$C16,$D$3:$D16,G$2)))</f>
        <v>-</v>
      </c>
      <c r="H16" s="2" t="str">
        <f>IF(H$1&gt;$Z$4,"-",IF(COUNTIF($D$3:$D16,H$2)=$Z$3,"Full",SUMIFS($C$3:$C16,$D$3:$D16,H$2)))</f>
        <v>-</v>
      </c>
      <c r="I16" s="2" t="str">
        <f>IF(I$1&gt;$Z$4,"-",IF(COUNTIF($D$3:$D16,I$2)=$Z$3,"Full",SUMIFS($C$3:$C16,$D$3:$D16,I$2)))</f>
        <v>-</v>
      </c>
      <c r="J16" s="2" t="str">
        <f>IF(J$1&gt;$Z$4,"-",IF(COUNTIF($D$3:$D16,J$2)=$Z$3,"Full",SUMIFS($C$3:$C16,$D$3:$D16,J$2)))</f>
        <v>-</v>
      </c>
      <c r="K16" s="2" t="str">
        <f>IF(K$1&gt;$Z$4,"-",IF(COUNTIF($D$3:$D16,K$2)=$Z$3,"Full",SUMIFS($C$3:$C16,$D$3:$D16,K$2)))</f>
        <v>-</v>
      </c>
      <c r="L16" s="2" t="str">
        <f>IF(L$1&gt;$Z$4,"-",IF(COUNTIF($D$3:$D16,L$2)=$Z$3,"Full",SUMIFS($C$3:$C16,$D$3:$D16,L$2)))</f>
        <v>-</v>
      </c>
      <c r="M16" s="2" t="str">
        <f>IF(M$1&gt;$Z$4,"-",IF(COUNTIF($D$3:$D16,M$2)=$Z$3,"Full",SUMIFS($C$3:$C16,$D$3:$D16,M$2)))</f>
        <v>-</v>
      </c>
      <c r="N16" s="2" t="str">
        <f>IF(N$1&gt;$Z$4,"-",IF(COUNTIF($D$3:$D16,N$2)=$Z$3,"Full",SUMIFS($C$3:$C16,$D$3:$D16,N$2)))</f>
        <v>-</v>
      </c>
      <c r="O16" s="2" t="str">
        <f>IF(O$1&gt;$Z$4,"-",IF(COUNTIF($D$3:$D16,O$2)=$Z$3,"Full",SUMIFS($C$3:$C16,$D$3:$D16,O$2)))</f>
        <v>-</v>
      </c>
      <c r="P16" s="2" t="str">
        <f>IF(P$1&gt;$Z$4,"-",IF(COUNTIF($D$3:$D16,P$2)=$Z$3,"Full",SUMIFS($C$3:$C16,$D$3:$D16,P$2)))</f>
        <v>-</v>
      </c>
      <c r="Q16" s="2" t="str">
        <f>IF(Q$1&gt;$Z$4,"-",IF(COUNTIF($D$3:$D16,Q$2)=$Z$3,"Full",SUMIFS($C$3:$C16,$D$3:$D16,Q$2)))</f>
        <v>-</v>
      </c>
      <c r="R16" s="2" t="str">
        <f>IF(R$1&gt;$Z$4,"-",IF(COUNTIF($D$3:$D16,R$2)=$Z$3,"Full",SUMIFS($C$3:$C16,$D$3:$D16,R$2)))</f>
        <v>-</v>
      </c>
      <c r="S16" s="2" t="str">
        <f>IF(S$1&gt;$Z$4,"-",IF(COUNTIF($D$3:$D16,S$2)=$Z$3,"Full",SUMIFS($C$3:$C16,$D$3:$D16,S$2)))</f>
        <v>-</v>
      </c>
      <c r="T16" s="11" t="str">
        <f>IF(T$1&gt;$Z$4,"-",IF(COUNTIF($D$3:$D16,T$2)=$Z$3,"Full",SUMIFS($C$3:$C16,$D$3:$D16,T$2)))</f>
        <v>-</v>
      </c>
      <c r="Y16" s="21"/>
      <c r="Z16" s="22" t="str">
        <f t="shared" si="2"/>
        <v>-</v>
      </c>
      <c r="AA16" s="21"/>
      <c r="AB16" s="22" t="str">
        <f t="shared" si="2"/>
        <v>-</v>
      </c>
      <c r="AC16" s="21"/>
      <c r="AD16" s="22" t="str">
        <f t="shared" ref="AD16" si="73">IF(ISBLANK(AC16),"-",_xlfn.XLOOKUP(AC16,$B$3:$B$274,$C$3:$C$274,0))</f>
        <v>-</v>
      </c>
      <c r="AE16" s="21"/>
      <c r="AF16" s="22" t="str">
        <f t="shared" ref="AF16" si="74">IF(ISBLANK(AE16),"-",_xlfn.XLOOKUP(AE16,$B$3:$B$274,$C$3:$C$274,0))</f>
        <v>-</v>
      </c>
      <c r="AG16" s="21"/>
      <c r="AH16" s="22" t="str">
        <f t="shared" ref="AH16" si="75">IF(ISBLANK(AG16),"-",_xlfn.XLOOKUP(AG16,$B$3:$B$274,$C$3:$C$274,0))</f>
        <v>-</v>
      </c>
      <c r="AI16" s="21"/>
      <c r="AJ16" s="22" t="str">
        <f t="shared" ref="AJ16" si="76">IF(ISBLANK(AI16),"-",_xlfn.XLOOKUP(AI16,$B$3:$B$274,$C$3:$C$274,0))</f>
        <v>-</v>
      </c>
      <c r="AK16" s="21"/>
      <c r="AL16" s="22" t="str">
        <f t="shared" ref="AL16" si="77">IF(ISBLANK(AK16),"-",_xlfn.XLOOKUP(AK16,$B$3:$B$274,$C$3:$C$274,0))</f>
        <v>-</v>
      </c>
      <c r="AM16" s="21"/>
      <c r="AN16" s="22" t="str">
        <f t="shared" ref="AN16" si="78">IF(ISBLANK(AM16),"-",_xlfn.XLOOKUP(AM16,$B$3:$B$274,$C$3:$C$274,0))</f>
        <v>-</v>
      </c>
      <c r="AO16" s="21"/>
      <c r="AP16" s="22" t="str">
        <f t="shared" ref="AP16" si="79">IF(ISBLANK(AO16),"-",_xlfn.XLOOKUP(AO16,$B$3:$B$274,$C$3:$C$274,0))</f>
        <v>-</v>
      </c>
      <c r="AQ16" s="21"/>
      <c r="AR16" s="22" t="str">
        <f t="shared" ref="AR16" si="80">IF(ISBLANK(AQ16),"-",_xlfn.XLOOKUP(AQ16,$B$3:$B$274,$C$3:$C$274,0))</f>
        <v>-</v>
      </c>
      <c r="AS16" s="21"/>
      <c r="AT16" s="22" t="str">
        <f t="shared" ref="AT16" si="81">IF(ISBLANK(AS16),"-",_xlfn.XLOOKUP(AS16,$B$3:$B$274,$C$3:$C$274,0))</f>
        <v>-</v>
      </c>
      <c r="AU16" s="21"/>
      <c r="AV16" s="22" t="str">
        <f t="shared" ref="AV16" si="82">IF(ISBLANK(AU16),"-",_xlfn.XLOOKUP(AU16,$B$3:$B$274,$C$3:$C$274,0))</f>
        <v>-</v>
      </c>
      <c r="AW16" s="21"/>
      <c r="AX16" s="22" t="str">
        <f t="shared" ref="AX16" si="83">IF(ISBLANK(AW16),"-",_xlfn.XLOOKUP(AW16,$B$3:$B$274,$C$3:$C$274,0))</f>
        <v>-</v>
      </c>
      <c r="AY16" s="21"/>
      <c r="AZ16" s="22" t="str">
        <f t="shared" ref="AZ16" si="84">IF(ISBLANK(AY16),"-",_xlfn.XLOOKUP(AY16,$B$3:$B$274,$C$3:$C$274,0))</f>
        <v>-</v>
      </c>
      <c r="BA16" s="21"/>
      <c r="BB16" s="22" t="str">
        <f t="shared" ref="BB16" si="85">IF(ISBLANK(BA16),"-",_xlfn.XLOOKUP(BA16,$B$3:$B$274,$C$3:$C$274,0))</f>
        <v>-</v>
      </c>
      <c r="BC16" s="21"/>
      <c r="BD16" s="22" t="str">
        <f t="shared" ref="BD16" si="86">IF(ISBLANK(BC16),"-",_xlfn.XLOOKUP(BC16,$B$3:$B$274,$C$3:$C$274,0))</f>
        <v>-</v>
      </c>
      <c r="BM16" s="2">
        <v>13</v>
      </c>
      <c r="BN16" s="2" t="s">
        <v>109</v>
      </c>
    </row>
    <row r="17" spans="1:66" x14ac:dyDescent="0.25">
      <c r="A17" s="10">
        <f t="shared" si="1"/>
        <v>15</v>
      </c>
      <c r="B17" s="2" t="str">
        <v>Jamaica</v>
      </c>
      <c r="C17" s="11">
        <v>4.58</v>
      </c>
      <c r="D17" s="14" t="str" cm="1">
        <f t="array" aca="1" ref="D17" ca="1">IFERROR(_xlfn.XLOOKUP(MIN(E16:INDIRECT($AA$4&amp;A17+1)),E16:INDIRECT($AA$4&amp;A17+1),$E$2:INDIRECT($AA$4&amp;"$2")),"-")</f>
        <v>-</v>
      </c>
      <c r="E17" s="10" t="str">
        <f ca="1">IF(E$1&gt;$Z$4,"-",IF(COUNTIF($D$3:$D17,E$2)=$Z$3,"Full",SUMIFS($C$3:$C17,$D$3:$D17,E$2)))</f>
        <v>Full</v>
      </c>
      <c r="F17" s="2" t="str">
        <f>IF(F$1&gt;$Z$4,"-",IF(COUNTIF($D$3:$D17,F$2)=$Z$3,"Full",SUMIFS($C$3:$C17,$D$3:$D17,F$2)))</f>
        <v>-</v>
      </c>
      <c r="G17" s="2" t="str">
        <f>IF(G$1&gt;$Z$4,"-",IF(COUNTIF($D$3:$D17,G$2)=$Z$3,"Full",SUMIFS($C$3:$C17,$D$3:$D17,G$2)))</f>
        <v>-</v>
      </c>
      <c r="H17" s="2" t="str">
        <f>IF(H$1&gt;$Z$4,"-",IF(COUNTIF($D$3:$D17,H$2)=$Z$3,"Full",SUMIFS($C$3:$C17,$D$3:$D17,H$2)))</f>
        <v>-</v>
      </c>
      <c r="I17" s="2" t="str">
        <f>IF(I$1&gt;$Z$4,"-",IF(COUNTIF($D$3:$D17,I$2)=$Z$3,"Full",SUMIFS($C$3:$C17,$D$3:$D17,I$2)))</f>
        <v>-</v>
      </c>
      <c r="J17" s="2" t="str">
        <f>IF(J$1&gt;$Z$4,"-",IF(COUNTIF($D$3:$D17,J$2)=$Z$3,"Full",SUMIFS($C$3:$C17,$D$3:$D17,J$2)))</f>
        <v>-</v>
      </c>
      <c r="K17" s="2" t="str">
        <f>IF(K$1&gt;$Z$4,"-",IF(COUNTIF($D$3:$D17,K$2)=$Z$3,"Full",SUMIFS($C$3:$C17,$D$3:$D17,K$2)))</f>
        <v>-</v>
      </c>
      <c r="L17" s="2" t="str">
        <f>IF(L$1&gt;$Z$4,"-",IF(COUNTIF($D$3:$D17,L$2)=$Z$3,"Full",SUMIFS($C$3:$C17,$D$3:$D17,L$2)))</f>
        <v>-</v>
      </c>
      <c r="M17" s="2" t="str">
        <f>IF(M$1&gt;$Z$4,"-",IF(COUNTIF($D$3:$D17,M$2)=$Z$3,"Full",SUMIFS($C$3:$C17,$D$3:$D17,M$2)))</f>
        <v>-</v>
      </c>
      <c r="N17" s="2" t="str">
        <f>IF(N$1&gt;$Z$4,"-",IF(COUNTIF($D$3:$D17,N$2)=$Z$3,"Full",SUMIFS($C$3:$C17,$D$3:$D17,N$2)))</f>
        <v>-</v>
      </c>
      <c r="O17" s="2" t="str">
        <f>IF(O$1&gt;$Z$4,"-",IF(COUNTIF($D$3:$D17,O$2)=$Z$3,"Full",SUMIFS($C$3:$C17,$D$3:$D17,O$2)))</f>
        <v>-</v>
      </c>
      <c r="P17" s="2" t="str">
        <f>IF(P$1&gt;$Z$4,"-",IF(COUNTIF($D$3:$D17,P$2)=$Z$3,"Full",SUMIFS($C$3:$C17,$D$3:$D17,P$2)))</f>
        <v>-</v>
      </c>
      <c r="Q17" s="2" t="str">
        <f>IF(Q$1&gt;$Z$4,"-",IF(COUNTIF($D$3:$D17,Q$2)=$Z$3,"Full",SUMIFS($C$3:$C17,$D$3:$D17,Q$2)))</f>
        <v>-</v>
      </c>
      <c r="R17" s="2" t="str">
        <f>IF(R$1&gt;$Z$4,"-",IF(COUNTIF($D$3:$D17,R$2)=$Z$3,"Full",SUMIFS($C$3:$C17,$D$3:$D17,R$2)))</f>
        <v>-</v>
      </c>
      <c r="S17" s="2" t="str">
        <f>IF(S$1&gt;$Z$4,"-",IF(COUNTIF($D$3:$D17,S$2)=$Z$3,"Full",SUMIFS($C$3:$C17,$D$3:$D17,S$2)))</f>
        <v>-</v>
      </c>
      <c r="T17" s="11" t="str">
        <f>IF(T$1&gt;$Z$4,"-",IF(COUNTIF($D$3:$D17,T$2)=$Z$3,"Full",SUMIFS($C$3:$C17,$D$3:$D17,T$2)))</f>
        <v>-</v>
      </c>
      <c r="Y17" s="21"/>
      <c r="Z17" s="22" t="str">
        <f t="shared" si="2"/>
        <v>-</v>
      </c>
      <c r="AA17" s="21"/>
      <c r="AB17" s="22" t="str">
        <f t="shared" si="2"/>
        <v>-</v>
      </c>
      <c r="AC17" s="21"/>
      <c r="AD17" s="22" t="str">
        <f t="shared" ref="AD17" si="87">IF(ISBLANK(AC17),"-",_xlfn.XLOOKUP(AC17,$B$3:$B$274,$C$3:$C$274,0))</f>
        <v>-</v>
      </c>
      <c r="AE17" s="21"/>
      <c r="AF17" s="22" t="str">
        <f t="shared" ref="AF17" si="88">IF(ISBLANK(AE17),"-",_xlfn.XLOOKUP(AE17,$B$3:$B$274,$C$3:$C$274,0))</f>
        <v>-</v>
      </c>
      <c r="AG17" s="21"/>
      <c r="AH17" s="22" t="str">
        <f t="shared" ref="AH17" si="89">IF(ISBLANK(AG17),"-",_xlfn.XLOOKUP(AG17,$B$3:$B$274,$C$3:$C$274,0))</f>
        <v>-</v>
      </c>
      <c r="AI17" s="21"/>
      <c r="AJ17" s="22" t="str">
        <f t="shared" ref="AJ17" si="90">IF(ISBLANK(AI17),"-",_xlfn.XLOOKUP(AI17,$B$3:$B$274,$C$3:$C$274,0))</f>
        <v>-</v>
      </c>
      <c r="AK17" s="21"/>
      <c r="AL17" s="22" t="str">
        <f t="shared" ref="AL17" si="91">IF(ISBLANK(AK17),"-",_xlfn.XLOOKUP(AK17,$B$3:$B$274,$C$3:$C$274,0))</f>
        <v>-</v>
      </c>
      <c r="AM17" s="21"/>
      <c r="AN17" s="22" t="str">
        <f t="shared" ref="AN17" si="92">IF(ISBLANK(AM17),"-",_xlfn.XLOOKUP(AM17,$B$3:$B$274,$C$3:$C$274,0))</f>
        <v>-</v>
      </c>
      <c r="AO17" s="21"/>
      <c r="AP17" s="22" t="str">
        <f t="shared" ref="AP17" si="93">IF(ISBLANK(AO17),"-",_xlfn.XLOOKUP(AO17,$B$3:$B$274,$C$3:$C$274,0))</f>
        <v>-</v>
      </c>
      <c r="AQ17" s="21"/>
      <c r="AR17" s="22" t="str">
        <f t="shared" ref="AR17" si="94">IF(ISBLANK(AQ17),"-",_xlfn.XLOOKUP(AQ17,$B$3:$B$274,$C$3:$C$274,0))</f>
        <v>-</v>
      </c>
      <c r="AS17" s="21"/>
      <c r="AT17" s="22" t="str">
        <f t="shared" ref="AT17" si="95">IF(ISBLANK(AS17),"-",_xlfn.XLOOKUP(AS17,$B$3:$B$274,$C$3:$C$274,0))</f>
        <v>-</v>
      </c>
      <c r="AU17" s="21"/>
      <c r="AV17" s="22" t="str">
        <f t="shared" ref="AV17" si="96">IF(ISBLANK(AU17),"-",_xlfn.XLOOKUP(AU17,$B$3:$B$274,$C$3:$C$274,0))</f>
        <v>-</v>
      </c>
      <c r="AW17" s="21"/>
      <c r="AX17" s="22" t="str">
        <f t="shared" ref="AX17" si="97">IF(ISBLANK(AW17),"-",_xlfn.XLOOKUP(AW17,$B$3:$B$274,$C$3:$C$274,0))</f>
        <v>-</v>
      </c>
      <c r="AY17" s="21"/>
      <c r="AZ17" s="22" t="str">
        <f t="shared" ref="AZ17" si="98">IF(ISBLANK(AY17),"-",_xlfn.XLOOKUP(AY17,$B$3:$B$274,$C$3:$C$274,0))</f>
        <v>-</v>
      </c>
      <c r="BA17" s="21"/>
      <c r="BB17" s="22" t="str">
        <f t="shared" ref="BB17" si="99">IF(ISBLANK(BA17),"-",_xlfn.XLOOKUP(BA17,$B$3:$B$274,$C$3:$C$274,0))</f>
        <v>-</v>
      </c>
      <c r="BC17" s="21"/>
      <c r="BD17" s="22" t="str">
        <f t="shared" ref="BD17" si="100">IF(ISBLANK(BC17),"-",_xlfn.XLOOKUP(BC17,$B$3:$B$274,$C$3:$C$274,0))</f>
        <v>-</v>
      </c>
      <c r="BM17" s="2">
        <v>14</v>
      </c>
      <c r="BN17" s="2" t="s">
        <v>110</v>
      </c>
    </row>
    <row r="18" spans="1:66" x14ac:dyDescent="0.25">
      <c r="A18" s="10">
        <f t="shared" si="1"/>
        <v>16</v>
      </c>
      <c r="B18" s="2" t="str">
        <v>Spain</v>
      </c>
      <c r="C18" s="11">
        <v>4.5</v>
      </c>
      <c r="D18" s="14" t="str" cm="1">
        <f t="array" aca="1" ref="D18" ca="1">IFERROR(_xlfn.XLOOKUP(MIN(E17:INDIRECT($AA$4&amp;A18+1)),E17:INDIRECT($AA$4&amp;A18+1),$E$2:INDIRECT($AA$4&amp;"$2")),"-")</f>
        <v>-</v>
      </c>
      <c r="E18" s="10" t="str">
        <f ca="1">IF(E$1&gt;$Z$4,"-",IF(COUNTIF($D$3:$D18,E$2)=$Z$3,"Full",SUMIFS($C$3:$C18,$D$3:$D18,E$2)))</f>
        <v>Full</v>
      </c>
      <c r="F18" s="2" t="str">
        <f>IF(F$1&gt;$Z$4,"-",IF(COUNTIF($D$3:$D18,F$2)=$Z$3,"Full",SUMIFS($C$3:$C18,$D$3:$D18,F$2)))</f>
        <v>-</v>
      </c>
      <c r="G18" s="2" t="str">
        <f>IF(G$1&gt;$Z$4,"-",IF(COUNTIF($D$3:$D18,G$2)=$Z$3,"Full",SUMIFS($C$3:$C18,$D$3:$D18,G$2)))</f>
        <v>-</v>
      </c>
      <c r="H18" s="2" t="str">
        <f>IF(H$1&gt;$Z$4,"-",IF(COUNTIF($D$3:$D18,H$2)=$Z$3,"Full",SUMIFS($C$3:$C18,$D$3:$D18,H$2)))</f>
        <v>-</v>
      </c>
      <c r="I18" s="2" t="str">
        <f>IF(I$1&gt;$Z$4,"-",IF(COUNTIF($D$3:$D18,I$2)=$Z$3,"Full",SUMIFS($C$3:$C18,$D$3:$D18,I$2)))</f>
        <v>-</v>
      </c>
      <c r="J18" s="2" t="str">
        <f>IF(J$1&gt;$Z$4,"-",IF(COUNTIF($D$3:$D18,J$2)=$Z$3,"Full",SUMIFS($C$3:$C18,$D$3:$D18,J$2)))</f>
        <v>-</v>
      </c>
      <c r="K18" s="2" t="str">
        <f>IF(K$1&gt;$Z$4,"-",IF(COUNTIF($D$3:$D18,K$2)=$Z$3,"Full",SUMIFS($C$3:$C18,$D$3:$D18,K$2)))</f>
        <v>-</v>
      </c>
      <c r="L18" s="2" t="str">
        <f>IF(L$1&gt;$Z$4,"-",IF(COUNTIF($D$3:$D18,L$2)=$Z$3,"Full",SUMIFS($C$3:$C18,$D$3:$D18,L$2)))</f>
        <v>-</v>
      </c>
      <c r="M18" s="2" t="str">
        <f>IF(M$1&gt;$Z$4,"-",IF(COUNTIF($D$3:$D18,M$2)=$Z$3,"Full",SUMIFS($C$3:$C18,$D$3:$D18,M$2)))</f>
        <v>-</v>
      </c>
      <c r="N18" s="2" t="str">
        <f>IF(N$1&gt;$Z$4,"-",IF(COUNTIF($D$3:$D18,N$2)=$Z$3,"Full",SUMIFS($C$3:$C18,$D$3:$D18,N$2)))</f>
        <v>-</v>
      </c>
      <c r="O18" s="2" t="str">
        <f>IF(O$1&gt;$Z$4,"-",IF(COUNTIF($D$3:$D18,O$2)=$Z$3,"Full",SUMIFS($C$3:$C18,$D$3:$D18,O$2)))</f>
        <v>-</v>
      </c>
      <c r="P18" s="2" t="str">
        <f>IF(P$1&gt;$Z$4,"-",IF(COUNTIF($D$3:$D18,P$2)=$Z$3,"Full",SUMIFS($C$3:$C18,$D$3:$D18,P$2)))</f>
        <v>-</v>
      </c>
      <c r="Q18" s="2" t="str">
        <f>IF(Q$1&gt;$Z$4,"-",IF(COUNTIF($D$3:$D18,Q$2)=$Z$3,"Full",SUMIFS($C$3:$C18,$D$3:$D18,Q$2)))</f>
        <v>-</v>
      </c>
      <c r="R18" s="2" t="str">
        <f>IF(R$1&gt;$Z$4,"-",IF(COUNTIF($D$3:$D18,R$2)=$Z$3,"Full",SUMIFS($C$3:$C18,$D$3:$D18,R$2)))</f>
        <v>-</v>
      </c>
      <c r="S18" s="2" t="str">
        <f>IF(S$1&gt;$Z$4,"-",IF(COUNTIF($D$3:$D18,S$2)=$Z$3,"Full",SUMIFS($C$3:$C18,$D$3:$D18,S$2)))</f>
        <v>-</v>
      </c>
      <c r="T18" s="11" t="str">
        <f>IF(T$1&gt;$Z$4,"-",IF(COUNTIF($D$3:$D18,T$2)=$Z$3,"Full",SUMIFS($C$3:$C18,$D$3:$D18,T$2)))</f>
        <v>-</v>
      </c>
      <c r="Y18" s="21"/>
      <c r="Z18" s="22" t="str">
        <f t="shared" si="2"/>
        <v>-</v>
      </c>
      <c r="AA18" s="21"/>
      <c r="AB18" s="22" t="str">
        <f t="shared" si="2"/>
        <v>-</v>
      </c>
      <c r="AC18" s="21"/>
      <c r="AD18" s="22" t="str">
        <f t="shared" ref="AD18" si="101">IF(ISBLANK(AC18),"-",_xlfn.XLOOKUP(AC18,$B$3:$B$274,$C$3:$C$274,0))</f>
        <v>-</v>
      </c>
      <c r="AE18" s="21"/>
      <c r="AF18" s="22" t="str">
        <f t="shared" ref="AF18" si="102">IF(ISBLANK(AE18),"-",_xlfn.XLOOKUP(AE18,$B$3:$B$274,$C$3:$C$274,0))</f>
        <v>-</v>
      </c>
      <c r="AG18" s="21"/>
      <c r="AH18" s="22" t="str">
        <f t="shared" ref="AH18" si="103">IF(ISBLANK(AG18),"-",_xlfn.XLOOKUP(AG18,$B$3:$B$274,$C$3:$C$274,0))</f>
        <v>-</v>
      </c>
      <c r="AI18" s="21"/>
      <c r="AJ18" s="22" t="str">
        <f t="shared" ref="AJ18" si="104">IF(ISBLANK(AI18),"-",_xlfn.XLOOKUP(AI18,$B$3:$B$274,$C$3:$C$274,0))</f>
        <v>-</v>
      </c>
      <c r="AK18" s="21"/>
      <c r="AL18" s="22" t="str">
        <f t="shared" ref="AL18" si="105">IF(ISBLANK(AK18),"-",_xlfn.XLOOKUP(AK18,$B$3:$B$274,$C$3:$C$274,0))</f>
        <v>-</v>
      </c>
      <c r="AM18" s="21"/>
      <c r="AN18" s="22" t="str">
        <f t="shared" ref="AN18" si="106">IF(ISBLANK(AM18),"-",_xlfn.XLOOKUP(AM18,$B$3:$B$274,$C$3:$C$274,0))</f>
        <v>-</v>
      </c>
      <c r="AO18" s="21"/>
      <c r="AP18" s="22" t="str">
        <f t="shared" ref="AP18" si="107">IF(ISBLANK(AO18),"-",_xlfn.XLOOKUP(AO18,$B$3:$B$274,$C$3:$C$274,0))</f>
        <v>-</v>
      </c>
      <c r="AQ18" s="21"/>
      <c r="AR18" s="22" t="str">
        <f t="shared" ref="AR18" si="108">IF(ISBLANK(AQ18),"-",_xlfn.XLOOKUP(AQ18,$B$3:$B$274,$C$3:$C$274,0))</f>
        <v>-</v>
      </c>
      <c r="AS18" s="21"/>
      <c r="AT18" s="22" t="str">
        <f t="shared" ref="AT18" si="109">IF(ISBLANK(AS18),"-",_xlfn.XLOOKUP(AS18,$B$3:$B$274,$C$3:$C$274,0))</f>
        <v>-</v>
      </c>
      <c r="AU18" s="21"/>
      <c r="AV18" s="22" t="str">
        <f t="shared" ref="AV18" si="110">IF(ISBLANK(AU18),"-",_xlfn.XLOOKUP(AU18,$B$3:$B$274,$C$3:$C$274,0))</f>
        <v>-</v>
      </c>
      <c r="AW18" s="21"/>
      <c r="AX18" s="22" t="str">
        <f t="shared" ref="AX18" si="111">IF(ISBLANK(AW18),"-",_xlfn.XLOOKUP(AW18,$B$3:$B$274,$C$3:$C$274,0))</f>
        <v>-</v>
      </c>
      <c r="AY18" s="21"/>
      <c r="AZ18" s="22" t="str">
        <f t="shared" ref="AZ18" si="112">IF(ISBLANK(AY18),"-",_xlfn.XLOOKUP(AY18,$B$3:$B$274,$C$3:$C$274,0))</f>
        <v>-</v>
      </c>
      <c r="BA18" s="21"/>
      <c r="BB18" s="22" t="str">
        <f t="shared" ref="BB18" si="113">IF(ISBLANK(BA18),"-",_xlfn.XLOOKUP(BA18,$B$3:$B$274,$C$3:$C$274,0))</f>
        <v>-</v>
      </c>
      <c r="BC18" s="21"/>
      <c r="BD18" s="22" t="str">
        <f t="shared" ref="BD18" si="114">IF(ISBLANK(BC18),"-",_xlfn.XLOOKUP(BC18,$B$3:$B$274,$C$3:$C$274,0))</f>
        <v>-</v>
      </c>
      <c r="BM18" s="2">
        <v>15</v>
      </c>
      <c r="BN18" s="2" t="s">
        <v>111</v>
      </c>
    </row>
    <row r="19" spans="1:66" ht="15.75" thickBot="1" x14ac:dyDescent="0.3">
      <c r="A19" s="10">
        <f t="shared" si="1"/>
        <v>17</v>
      </c>
      <c r="B19" s="2" t="str">
        <v>Denmark</v>
      </c>
      <c r="C19" s="11">
        <v>4.4800000000000004</v>
      </c>
      <c r="D19" s="14" t="str" cm="1">
        <f t="array" aca="1" ref="D19" ca="1">IFERROR(_xlfn.XLOOKUP(MIN(E18:INDIRECT($AA$4&amp;A19+1)),E18:INDIRECT($AA$4&amp;A19+1),$E$2:INDIRECT($AA$4&amp;"$2")),"-")</f>
        <v>-</v>
      </c>
      <c r="E19" s="10" t="str">
        <f ca="1">IF(E$1&gt;$Z$4,"-",IF(COUNTIF($D$3:$D19,E$2)=$Z$3,"Full",SUMIFS($C$3:$C19,$D$3:$D19,E$2)))</f>
        <v>Full</v>
      </c>
      <c r="F19" s="2" t="str">
        <f>IF(F$1&gt;$Z$4,"-",IF(COUNTIF($D$3:$D19,F$2)=$Z$3,"Full",SUMIFS($C$3:$C19,$D$3:$D19,F$2)))</f>
        <v>-</v>
      </c>
      <c r="G19" s="2" t="str">
        <f>IF(G$1&gt;$Z$4,"-",IF(COUNTIF($D$3:$D19,G$2)=$Z$3,"Full",SUMIFS($C$3:$C19,$D$3:$D19,G$2)))</f>
        <v>-</v>
      </c>
      <c r="H19" s="2" t="str">
        <f>IF(H$1&gt;$Z$4,"-",IF(COUNTIF($D$3:$D19,H$2)=$Z$3,"Full",SUMIFS($C$3:$C19,$D$3:$D19,H$2)))</f>
        <v>-</v>
      </c>
      <c r="I19" s="2" t="str">
        <f>IF(I$1&gt;$Z$4,"-",IF(COUNTIF($D$3:$D19,I$2)=$Z$3,"Full",SUMIFS($C$3:$C19,$D$3:$D19,I$2)))</f>
        <v>-</v>
      </c>
      <c r="J19" s="2" t="str">
        <f>IF(J$1&gt;$Z$4,"-",IF(COUNTIF($D$3:$D19,J$2)=$Z$3,"Full",SUMIFS($C$3:$C19,$D$3:$D19,J$2)))</f>
        <v>-</v>
      </c>
      <c r="K19" s="2" t="str">
        <f>IF(K$1&gt;$Z$4,"-",IF(COUNTIF($D$3:$D19,K$2)=$Z$3,"Full",SUMIFS($C$3:$C19,$D$3:$D19,K$2)))</f>
        <v>-</v>
      </c>
      <c r="L19" s="2" t="str">
        <f>IF(L$1&gt;$Z$4,"-",IF(COUNTIF($D$3:$D19,L$2)=$Z$3,"Full",SUMIFS($C$3:$C19,$D$3:$D19,L$2)))</f>
        <v>-</v>
      </c>
      <c r="M19" s="2" t="str">
        <f>IF(M$1&gt;$Z$4,"-",IF(COUNTIF($D$3:$D19,M$2)=$Z$3,"Full",SUMIFS($C$3:$C19,$D$3:$D19,M$2)))</f>
        <v>-</v>
      </c>
      <c r="N19" s="2" t="str">
        <f>IF(N$1&gt;$Z$4,"-",IF(COUNTIF($D$3:$D19,N$2)=$Z$3,"Full",SUMIFS($C$3:$C19,$D$3:$D19,N$2)))</f>
        <v>-</v>
      </c>
      <c r="O19" s="2" t="str">
        <f>IF(O$1&gt;$Z$4,"-",IF(COUNTIF($D$3:$D19,O$2)=$Z$3,"Full",SUMIFS($C$3:$C19,$D$3:$D19,O$2)))</f>
        <v>-</v>
      </c>
      <c r="P19" s="2" t="str">
        <f>IF(P$1&gt;$Z$4,"-",IF(COUNTIF($D$3:$D19,P$2)=$Z$3,"Full",SUMIFS($C$3:$C19,$D$3:$D19,P$2)))</f>
        <v>-</v>
      </c>
      <c r="Q19" s="2" t="str">
        <f>IF(Q$1&gt;$Z$4,"-",IF(COUNTIF($D$3:$D19,Q$2)=$Z$3,"Full",SUMIFS($C$3:$C19,$D$3:$D19,Q$2)))</f>
        <v>-</v>
      </c>
      <c r="R19" s="2" t="str">
        <f>IF(R$1&gt;$Z$4,"-",IF(COUNTIF($D$3:$D19,R$2)=$Z$3,"Full",SUMIFS($C$3:$C19,$D$3:$D19,R$2)))</f>
        <v>-</v>
      </c>
      <c r="S19" s="2" t="str">
        <f>IF(S$1&gt;$Z$4,"-",IF(COUNTIF($D$3:$D19,S$2)=$Z$3,"Full",SUMIFS($C$3:$C19,$D$3:$D19,S$2)))</f>
        <v>-</v>
      </c>
      <c r="T19" s="11" t="str">
        <f>IF(T$1&gt;$Z$4,"-",IF(COUNTIF($D$3:$D19,T$2)=$Z$3,"Full",SUMIFS($C$3:$C19,$D$3:$D19,T$2)))</f>
        <v>-</v>
      </c>
      <c r="Y19" s="23"/>
      <c r="Z19" s="24" t="str">
        <f t="shared" si="2"/>
        <v>-</v>
      </c>
      <c r="AA19" s="23"/>
      <c r="AB19" s="24" t="str">
        <f t="shared" si="2"/>
        <v>-</v>
      </c>
      <c r="AC19" s="23"/>
      <c r="AD19" s="24" t="str">
        <f t="shared" ref="AD19" si="115">IF(ISBLANK(AC19),"-",_xlfn.XLOOKUP(AC19,$B$3:$B$274,$C$3:$C$274,0))</f>
        <v>-</v>
      </c>
      <c r="AE19" s="23"/>
      <c r="AF19" s="24" t="str">
        <f t="shared" ref="AF19" si="116">IF(ISBLANK(AE19),"-",_xlfn.XLOOKUP(AE19,$B$3:$B$274,$C$3:$C$274,0))</f>
        <v>-</v>
      </c>
      <c r="AG19" s="23"/>
      <c r="AH19" s="24" t="str">
        <f t="shared" ref="AH19" si="117">IF(ISBLANK(AG19),"-",_xlfn.XLOOKUP(AG19,$B$3:$B$274,$C$3:$C$274,0))</f>
        <v>-</v>
      </c>
      <c r="AI19" s="23"/>
      <c r="AJ19" s="24" t="str">
        <f t="shared" ref="AJ19" si="118">IF(ISBLANK(AI19),"-",_xlfn.XLOOKUP(AI19,$B$3:$B$274,$C$3:$C$274,0))</f>
        <v>-</v>
      </c>
      <c r="AK19" s="23"/>
      <c r="AL19" s="24" t="str">
        <f t="shared" ref="AL19" si="119">IF(ISBLANK(AK19),"-",_xlfn.XLOOKUP(AK19,$B$3:$B$274,$C$3:$C$274,0))</f>
        <v>-</v>
      </c>
      <c r="AM19" s="23"/>
      <c r="AN19" s="24" t="str">
        <f t="shared" ref="AN19" si="120">IF(ISBLANK(AM19),"-",_xlfn.XLOOKUP(AM19,$B$3:$B$274,$C$3:$C$274,0))</f>
        <v>-</v>
      </c>
      <c r="AO19" s="23"/>
      <c r="AP19" s="24" t="str">
        <f t="shared" ref="AP19" si="121">IF(ISBLANK(AO19),"-",_xlfn.XLOOKUP(AO19,$B$3:$B$274,$C$3:$C$274,0))</f>
        <v>-</v>
      </c>
      <c r="AQ19" s="23"/>
      <c r="AR19" s="24" t="str">
        <f t="shared" ref="AR19" si="122">IF(ISBLANK(AQ19),"-",_xlfn.XLOOKUP(AQ19,$B$3:$B$274,$C$3:$C$274,0))</f>
        <v>-</v>
      </c>
      <c r="AS19" s="23"/>
      <c r="AT19" s="24" t="str">
        <f t="shared" ref="AT19" si="123">IF(ISBLANK(AS19),"-",_xlfn.XLOOKUP(AS19,$B$3:$B$274,$C$3:$C$274,0))</f>
        <v>-</v>
      </c>
      <c r="AU19" s="23"/>
      <c r="AV19" s="24" t="str">
        <f t="shared" ref="AV19" si="124">IF(ISBLANK(AU19),"-",_xlfn.XLOOKUP(AU19,$B$3:$B$274,$C$3:$C$274,0))</f>
        <v>-</v>
      </c>
      <c r="AW19" s="23"/>
      <c r="AX19" s="24" t="str">
        <f t="shared" ref="AX19" si="125">IF(ISBLANK(AW19),"-",_xlfn.XLOOKUP(AW19,$B$3:$B$274,$C$3:$C$274,0))</f>
        <v>-</v>
      </c>
      <c r="AY19" s="23"/>
      <c r="AZ19" s="24" t="str">
        <f t="shared" ref="AZ19" si="126">IF(ISBLANK(AY19),"-",_xlfn.XLOOKUP(AY19,$B$3:$B$274,$C$3:$C$274,0))</f>
        <v>-</v>
      </c>
      <c r="BA19" s="23"/>
      <c r="BB19" s="24" t="str">
        <f t="shared" ref="BB19" si="127">IF(ISBLANK(BA19),"-",_xlfn.XLOOKUP(BA19,$B$3:$B$274,$C$3:$C$274,0))</f>
        <v>-</v>
      </c>
      <c r="BC19" s="23"/>
      <c r="BD19" s="24" t="str">
        <f t="shared" ref="BD19" si="128">IF(ISBLANK(BC19),"-",_xlfn.XLOOKUP(BC19,$B$3:$B$274,$C$3:$C$274,0))</f>
        <v>-</v>
      </c>
      <c r="BM19" s="2">
        <v>16</v>
      </c>
      <c r="BN19" s="2" t="s">
        <v>112</v>
      </c>
    </row>
    <row r="20" spans="1:66" x14ac:dyDescent="0.25">
      <c r="A20" s="10">
        <f t="shared" si="1"/>
        <v>18</v>
      </c>
      <c r="B20" s="2" t="str">
        <v>Kenya</v>
      </c>
      <c r="C20" s="11">
        <v>4.33</v>
      </c>
      <c r="D20" s="14" t="str" cm="1">
        <f t="array" aca="1" ref="D20" ca="1">IFERROR(_xlfn.XLOOKUP(MIN(E19:INDIRECT($AA$4&amp;A20+1)),E19:INDIRECT($AA$4&amp;A20+1),$E$2:INDIRECT($AA$4&amp;"$2")),"-")</f>
        <v>-</v>
      </c>
      <c r="E20" s="10" t="str">
        <f ca="1">IF(E$1&gt;$Z$4,"-",IF(COUNTIF($D$3:$D20,E$2)=$Z$3,"Full",SUMIFS($C$3:$C20,$D$3:$D20,E$2)))</f>
        <v>Full</v>
      </c>
      <c r="F20" s="2" t="str">
        <f>IF(F$1&gt;$Z$4,"-",IF(COUNTIF($D$3:$D20,F$2)=$Z$3,"Full",SUMIFS($C$3:$C20,$D$3:$D20,F$2)))</f>
        <v>-</v>
      </c>
      <c r="G20" s="2" t="str">
        <f>IF(G$1&gt;$Z$4,"-",IF(COUNTIF($D$3:$D20,G$2)=$Z$3,"Full",SUMIFS($C$3:$C20,$D$3:$D20,G$2)))</f>
        <v>-</v>
      </c>
      <c r="H20" s="2" t="str">
        <f>IF(H$1&gt;$Z$4,"-",IF(COUNTIF($D$3:$D20,H$2)=$Z$3,"Full",SUMIFS($C$3:$C20,$D$3:$D20,H$2)))</f>
        <v>-</v>
      </c>
      <c r="I20" s="2" t="str">
        <f>IF(I$1&gt;$Z$4,"-",IF(COUNTIF($D$3:$D20,I$2)=$Z$3,"Full",SUMIFS($C$3:$C20,$D$3:$D20,I$2)))</f>
        <v>-</v>
      </c>
      <c r="J20" s="2" t="str">
        <f>IF(J$1&gt;$Z$4,"-",IF(COUNTIF($D$3:$D20,J$2)=$Z$3,"Full",SUMIFS($C$3:$C20,$D$3:$D20,J$2)))</f>
        <v>-</v>
      </c>
      <c r="K20" s="2" t="str">
        <f>IF(K$1&gt;$Z$4,"-",IF(COUNTIF($D$3:$D20,K$2)=$Z$3,"Full",SUMIFS($C$3:$C20,$D$3:$D20,K$2)))</f>
        <v>-</v>
      </c>
      <c r="L20" s="2" t="str">
        <f>IF(L$1&gt;$Z$4,"-",IF(COUNTIF($D$3:$D20,L$2)=$Z$3,"Full",SUMIFS($C$3:$C20,$D$3:$D20,L$2)))</f>
        <v>-</v>
      </c>
      <c r="M20" s="2" t="str">
        <f>IF(M$1&gt;$Z$4,"-",IF(COUNTIF($D$3:$D20,M$2)=$Z$3,"Full",SUMIFS($C$3:$C20,$D$3:$D20,M$2)))</f>
        <v>-</v>
      </c>
      <c r="N20" s="2" t="str">
        <f>IF(N$1&gt;$Z$4,"-",IF(COUNTIF($D$3:$D20,N$2)=$Z$3,"Full",SUMIFS($C$3:$C20,$D$3:$D20,N$2)))</f>
        <v>-</v>
      </c>
      <c r="O20" s="2" t="str">
        <f>IF(O$1&gt;$Z$4,"-",IF(COUNTIF($D$3:$D20,O$2)=$Z$3,"Full",SUMIFS($C$3:$C20,$D$3:$D20,O$2)))</f>
        <v>-</v>
      </c>
      <c r="P20" s="2" t="str">
        <f>IF(P$1&gt;$Z$4,"-",IF(COUNTIF($D$3:$D20,P$2)=$Z$3,"Full",SUMIFS($C$3:$C20,$D$3:$D20,P$2)))</f>
        <v>-</v>
      </c>
      <c r="Q20" s="2" t="str">
        <f>IF(Q$1&gt;$Z$4,"-",IF(COUNTIF($D$3:$D20,Q$2)=$Z$3,"Full",SUMIFS($C$3:$C20,$D$3:$D20,Q$2)))</f>
        <v>-</v>
      </c>
      <c r="R20" s="2" t="str">
        <f>IF(R$1&gt;$Z$4,"-",IF(COUNTIF($D$3:$D20,R$2)=$Z$3,"Full",SUMIFS($C$3:$C20,$D$3:$D20,R$2)))</f>
        <v>-</v>
      </c>
      <c r="S20" s="2" t="str">
        <f>IF(S$1&gt;$Z$4,"-",IF(COUNTIF($D$3:$D20,S$2)=$Z$3,"Full",SUMIFS($C$3:$C20,$D$3:$D20,S$2)))</f>
        <v>-</v>
      </c>
      <c r="T20" s="11" t="str">
        <f>IF(T$1&gt;$Z$4,"-",IF(COUNTIF($D$3:$D20,T$2)=$Z$3,"Full",SUMIFS($C$3:$C20,$D$3:$D20,T$2)))</f>
        <v>-</v>
      </c>
      <c r="BM20" s="2">
        <v>17</v>
      </c>
      <c r="BN20" s="2" t="s">
        <v>113</v>
      </c>
    </row>
    <row r="21" spans="1:66" x14ac:dyDescent="0.25">
      <c r="A21" s="10">
        <f t="shared" si="1"/>
        <v>19</v>
      </c>
      <c r="B21" s="2" t="str">
        <v>New Zealand</v>
      </c>
      <c r="C21" s="11">
        <v>4.03</v>
      </c>
      <c r="D21" s="14" t="str" cm="1">
        <f t="array" aca="1" ref="D21" ca="1">IFERROR(_xlfn.XLOOKUP(MIN(E20:INDIRECT($AA$4&amp;A21+1)),E20:INDIRECT($AA$4&amp;A21+1),$E$2:INDIRECT($AA$4&amp;"$2")),"-")</f>
        <v>-</v>
      </c>
      <c r="E21" s="10" t="str">
        <f ca="1">IF(E$1&gt;$Z$4,"-",IF(COUNTIF($D$3:$D21,E$2)=$Z$3,"Full",SUMIFS($C$3:$C21,$D$3:$D21,E$2)))</f>
        <v>Full</v>
      </c>
      <c r="F21" s="2" t="str">
        <f>IF(F$1&gt;$Z$4,"-",IF(COUNTIF($D$3:$D21,F$2)=$Z$3,"Full",SUMIFS($C$3:$C21,$D$3:$D21,F$2)))</f>
        <v>-</v>
      </c>
      <c r="G21" s="2" t="str">
        <f>IF(G$1&gt;$Z$4,"-",IF(COUNTIF($D$3:$D21,G$2)=$Z$3,"Full",SUMIFS($C$3:$C21,$D$3:$D21,G$2)))</f>
        <v>-</v>
      </c>
      <c r="H21" s="2" t="str">
        <f>IF(H$1&gt;$Z$4,"-",IF(COUNTIF($D$3:$D21,H$2)=$Z$3,"Full",SUMIFS($C$3:$C21,$D$3:$D21,H$2)))</f>
        <v>-</v>
      </c>
      <c r="I21" s="2" t="str">
        <f>IF(I$1&gt;$Z$4,"-",IF(COUNTIF($D$3:$D21,I$2)=$Z$3,"Full",SUMIFS($C$3:$C21,$D$3:$D21,I$2)))</f>
        <v>-</v>
      </c>
      <c r="J21" s="2" t="str">
        <f>IF(J$1&gt;$Z$4,"-",IF(COUNTIF($D$3:$D21,J$2)=$Z$3,"Full",SUMIFS($C$3:$C21,$D$3:$D21,J$2)))</f>
        <v>-</v>
      </c>
      <c r="K21" s="2" t="str">
        <f>IF(K$1&gt;$Z$4,"-",IF(COUNTIF($D$3:$D21,K$2)=$Z$3,"Full",SUMIFS($C$3:$C21,$D$3:$D21,K$2)))</f>
        <v>-</v>
      </c>
      <c r="L21" s="2" t="str">
        <f>IF(L$1&gt;$Z$4,"-",IF(COUNTIF($D$3:$D21,L$2)=$Z$3,"Full",SUMIFS($C$3:$C21,$D$3:$D21,L$2)))</f>
        <v>-</v>
      </c>
      <c r="M21" s="2" t="str">
        <f>IF(M$1&gt;$Z$4,"-",IF(COUNTIF($D$3:$D21,M$2)=$Z$3,"Full",SUMIFS($C$3:$C21,$D$3:$D21,M$2)))</f>
        <v>-</v>
      </c>
      <c r="N21" s="2" t="str">
        <f>IF(N$1&gt;$Z$4,"-",IF(COUNTIF($D$3:$D21,N$2)=$Z$3,"Full",SUMIFS($C$3:$C21,$D$3:$D21,N$2)))</f>
        <v>-</v>
      </c>
      <c r="O21" s="2" t="str">
        <f>IF(O$1&gt;$Z$4,"-",IF(COUNTIF($D$3:$D21,O$2)=$Z$3,"Full",SUMIFS($C$3:$C21,$D$3:$D21,O$2)))</f>
        <v>-</v>
      </c>
      <c r="P21" s="2" t="str">
        <f>IF(P$1&gt;$Z$4,"-",IF(COUNTIF($D$3:$D21,P$2)=$Z$3,"Full",SUMIFS($C$3:$C21,$D$3:$D21,P$2)))</f>
        <v>-</v>
      </c>
      <c r="Q21" s="2" t="str">
        <f>IF(Q$1&gt;$Z$4,"-",IF(COUNTIF($D$3:$D21,Q$2)=$Z$3,"Full",SUMIFS($C$3:$C21,$D$3:$D21,Q$2)))</f>
        <v>-</v>
      </c>
      <c r="R21" s="2" t="str">
        <f>IF(R$1&gt;$Z$4,"-",IF(COUNTIF($D$3:$D21,R$2)=$Z$3,"Full",SUMIFS($C$3:$C21,$D$3:$D21,R$2)))</f>
        <v>-</v>
      </c>
      <c r="S21" s="2" t="str">
        <f>IF(S$1&gt;$Z$4,"-",IF(COUNTIF($D$3:$D21,S$2)=$Z$3,"Full",SUMIFS($C$3:$C21,$D$3:$D21,S$2)))</f>
        <v>-</v>
      </c>
      <c r="T21" s="11" t="str">
        <f>IF(T$1&gt;$Z$4,"-",IF(COUNTIF($D$3:$D21,T$2)=$Z$3,"Full",SUMIFS($C$3:$C21,$D$3:$D21,T$2)))</f>
        <v>-</v>
      </c>
      <c r="Z21" s="1">
        <f ca="1">SUM(Z10:Z19)</f>
        <v>15.95</v>
      </c>
      <c r="AA21" s="1"/>
      <c r="AB21" s="1">
        <f t="shared" ref="AB21:AN21" ca="1" si="129">SUM(AB10:AB19)</f>
        <v>0</v>
      </c>
      <c r="AC21" s="1"/>
      <c r="AD21" s="1">
        <f t="shared" ca="1" si="129"/>
        <v>0</v>
      </c>
      <c r="AE21" s="1"/>
      <c r="AF21" s="1">
        <f t="shared" ca="1" si="129"/>
        <v>0</v>
      </c>
      <c r="AG21" s="1"/>
      <c r="AH21" s="1">
        <f t="shared" ca="1" si="129"/>
        <v>0</v>
      </c>
      <c r="AI21" s="1"/>
      <c r="AJ21" s="1">
        <f t="shared" ca="1" si="129"/>
        <v>0</v>
      </c>
      <c r="AK21" s="1">
        <f t="shared" ca="1" si="129"/>
        <v>0</v>
      </c>
      <c r="AL21" s="1">
        <f t="shared" ca="1" si="129"/>
        <v>0</v>
      </c>
      <c r="AM21" s="1"/>
      <c r="AN21" s="1">
        <f t="shared" ca="1" si="129"/>
        <v>0</v>
      </c>
      <c r="AO21" s="1"/>
      <c r="AP21" s="1">
        <f t="shared" ref="AP21" ca="1" si="130">SUM(AP10:AP19)</f>
        <v>0</v>
      </c>
      <c r="AQ21" s="1"/>
      <c r="AR21" s="1">
        <f t="shared" ref="AR21:AT21" ca="1" si="131">SUM(AR10:AR19)</f>
        <v>0</v>
      </c>
      <c r="AS21" s="1"/>
      <c r="AT21" s="1">
        <f t="shared" ca="1" si="131"/>
        <v>0</v>
      </c>
      <c r="AU21" s="1"/>
      <c r="AV21" s="1">
        <f t="shared" ref="AV21" ca="1" si="132">SUM(AV10:AV19)</f>
        <v>0</v>
      </c>
      <c r="AW21" s="1"/>
      <c r="AX21" s="1">
        <f t="shared" ref="AX21" ca="1" si="133">SUM(AX10:AX19)</f>
        <v>0</v>
      </c>
      <c r="AY21" s="1"/>
      <c r="AZ21" s="1">
        <f t="shared" ref="AZ21:BB21" ca="1" si="134">SUM(AZ10:AZ19)</f>
        <v>0</v>
      </c>
      <c r="BA21" s="1"/>
      <c r="BB21" s="1">
        <f t="shared" ca="1" si="134"/>
        <v>0</v>
      </c>
      <c r="BC21" s="1"/>
      <c r="BD21" s="1">
        <f t="shared" ref="BD21" ca="1" si="135">SUM(BD10:BD19)</f>
        <v>0</v>
      </c>
    </row>
    <row r="22" spans="1:66" ht="15.75" thickBot="1" x14ac:dyDescent="0.3">
      <c r="A22" s="10">
        <f t="shared" si="1"/>
        <v>20</v>
      </c>
      <c r="B22" s="2" t="str">
        <v>Iran</v>
      </c>
      <c r="C22" s="11">
        <v>3.99</v>
      </c>
      <c r="D22" s="14" t="str" cm="1">
        <f t="array" aca="1" ref="D22" ca="1">IFERROR(_xlfn.XLOOKUP(MIN(E21:INDIRECT($AA$4&amp;A22+1)),E21:INDIRECT($AA$4&amp;A22+1),$E$2:INDIRECT($AA$4&amp;"$2")),"-")</f>
        <v>-</v>
      </c>
      <c r="E22" s="10" t="str">
        <f ca="1">IF(E$1&gt;$Z$4,"-",IF(COUNTIF($D$3:$D22,E$2)=$Z$3,"Full",SUMIFS($C$3:$C22,$D$3:$D22,E$2)))</f>
        <v>Full</v>
      </c>
      <c r="F22" s="2" t="str">
        <f>IF(F$1&gt;$Z$4,"-",IF(COUNTIF($D$3:$D22,F$2)=$Z$3,"Full",SUMIFS($C$3:$C22,$D$3:$D22,F$2)))</f>
        <v>-</v>
      </c>
      <c r="G22" s="2" t="str">
        <f>IF(G$1&gt;$Z$4,"-",IF(COUNTIF($D$3:$D22,G$2)=$Z$3,"Full",SUMIFS($C$3:$C22,$D$3:$D22,G$2)))</f>
        <v>-</v>
      </c>
      <c r="H22" s="2" t="str">
        <f>IF(H$1&gt;$Z$4,"-",IF(COUNTIF($D$3:$D22,H$2)=$Z$3,"Full",SUMIFS($C$3:$C22,$D$3:$D22,H$2)))</f>
        <v>-</v>
      </c>
      <c r="I22" s="2" t="str">
        <f>IF(I$1&gt;$Z$4,"-",IF(COUNTIF($D$3:$D22,I$2)=$Z$3,"Full",SUMIFS($C$3:$C22,$D$3:$D22,I$2)))</f>
        <v>-</v>
      </c>
      <c r="J22" s="2" t="str">
        <f>IF(J$1&gt;$Z$4,"-",IF(COUNTIF($D$3:$D22,J$2)=$Z$3,"Full",SUMIFS($C$3:$C22,$D$3:$D22,J$2)))</f>
        <v>-</v>
      </c>
      <c r="K22" s="2" t="str">
        <f>IF(K$1&gt;$Z$4,"-",IF(COUNTIF($D$3:$D22,K$2)=$Z$3,"Full",SUMIFS($C$3:$C22,$D$3:$D22,K$2)))</f>
        <v>-</v>
      </c>
      <c r="L22" s="2" t="str">
        <f>IF(L$1&gt;$Z$4,"-",IF(COUNTIF($D$3:$D22,L$2)=$Z$3,"Full",SUMIFS($C$3:$C22,$D$3:$D22,L$2)))</f>
        <v>-</v>
      </c>
      <c r="M22" s="2" t="str">
        <f>IF(M$1&gt;$Z$4,"-",IF(COUNTIF($D$3:$D22,M$2)=$Z$3,"Full",SUMIFS($C$3:$C22,$D$3:$D22,M$2)))</f>
        <v>-</v>
      </c>
      <c r="N22" s="2" t="str">
        <f>IF(N$1&gt;$Z$4,"-",IF(COUNTIF($D$3:$D22,N$2)=$Z$3,"Full",SUMIFS($C$3:$C22,$D$3:$D22,N$2)))</f>
        <v>-</v>
      </c>
      <c r="O22" s="2" t="str">
        <f>IF(O$1&gt;$Z$4,"-",IF(COUNTIF($D$3:$D22,O$2)=$Z$3,"Full",SUMIFS($C$3:$C22,$D$3:$D22,O$2)))</f>
        <v>-</v>
      </c>
      <c r="P22" s="2" t="str">
        <f>IF(P$1&gt;$Z$4,"-",IF(COUNTIF($D$3:$D22,P$2)=$Z$3,"Full",SUMIFS($C$3:$C22,$D$3:$D22,P$2)))</f>
        <v>-</v>
      </c>
      <c r="Q22" s="2" t="str">
        <f>IF(Q$1&gt;$Z$4,"-",IF(COUNTIF($D$3:$D22,Q$2)=$Z$3,"Full",SUMIFS($C$3:$C22,$D$3:$D22,Q$2)))</f>
        <v>-</v>
      </c>
      <c r="R22" s="2" t="str">
        <f>IF(R$1&gt;$Z$4,"-",IF(COUNTIF($D$3:$D22,R$2)=$Z$3,"Full",SUMIFS($C$3:$C22,$D$3:$D22,R$2)))</f>
        <v>-</v>
      </c>
      <c r="S22" s="2" t="str">
        <f>IF(S$1&gt;$Z$4,"-",IF(COUNTIF($D$3:$D22,S$2)=$Z$3,"Full",SUMIFS($C$3:$C22,$D$3:$D22,S$2)))</f>
        <v>-</v>
      </c>
      <c r="T22" s="11" t="str">
        <f>IF(T$1&gt;$Z$4,"-",IF(COUNTIF($D$3:$D22,T$2)=$Z$3,"Full",SUMIFS($C$3:$C22,$D$3:$D22,T$2)))</f>
        <v>-</v>
      </c>
    </row>
    <row r="23" spans="1:66" ht="15.75" thickBot="1" x14ac:dyDescent="0.3">
      <c r="A23" s="10">
        <f t="shared" si="1"/>
        <v>21</v>
      </c>
      <c r="B23" s="2" t="str">
        <v>Turkey</v>
      </c>
      <c r="C23" s="11">
        <v>3.95</v>
      </c>
      <c r="D23" s="14" t="str" cm="1">
        <f t="array" aca="1" ref="D23" ca="1">IFERROR(_xlfn.XLOOKUP(MIN(E22:INDIRECT($AA$4&amp;A23+1)),E22:INDIRECT($AA$4&amp;A23+1),$E$2:INDIRECT($AA$4&amp;"$2")),"-")</f>
        <v>-</v>
      </c>
      <c r="E23" s="10" t="str">
        <f ca="1">IF(E$1&gt;$Z$4,"-",IF(COUNTIF($D$3:$D23,E$2)=$Z$3,"Full",SUMIFS($C$3:$C23,$D$3:$D23,E$2)))</f>
        <v>Full</v>
      </c>
      <c r="F23" s="2" t="str">
        <f>IF(F$1&gt;$Z$4,"-",IF(COUNTIF($D$3:$D23,F$2)=$Z$3,"Full",SUMIFS($C$3:$C23,$D$3:$D23,F$2)))</f>
        <v>-</v>
      </c>
      <c r="G23" s="2" t="str">
        <f>IF(G$1&gt;$Z$4,"-",IF(COUNTIF($D$3:$D23,G$2)=$Z$3,"Full",SUMIFS($C$3:$C23,$D$3:$D23,G$2)))</f>
        <v>-</v>
      </c>
      <c r="H23" s="2" t="str">
        <f>IF(H$1&gt;$Z$4,"-",IF(COUNTIF($D$3:$D23,H$2)=$Z$3,"Full",SUMIFS($C$3:$C23,$D$3:$D23,H$2)))</f>
        <v>-</v>
      </c>
      <c r="I23" s="2" t="str">
        <f>IF(I$1&gt;$Z$4,"-",IF(COUNTIF($D$3:$D23,I$2)=$Z$3,"Full",SUMIFS($C$3:$C23,$D$3:$D23,I$2)))</f>
        <v>-</v>
      </c>
      <c r="J23" s="2" t="str">
        <f>IF(J$1&gt;$Z$4,"-",IF(COUNTIF($D$3:$D23,J$2)=$Z$3,"Full",SUMIFS($C$3:$C23,$D$3:$D23,J$2)))</f>
        <v>-</v>
      </c>
      <c r="K23" s="2" t="str">
        <f>IF(K$1&gt;$Z$4,"-",IF(COUNTIF($D$3:$D23,K$2)=$Z$3,"Full",SUMIFS($C$3:$C23,$D$3:$D23,K$2)))</f>
        <v>-</v>
      </c>
      <c r="L23" s="2" t="str">
        <f>IF(L$1&gt;$Z$4,"-",IF(COUNTIF($D$3:$D23,L$2)=$Z$3,"Full",SUMIFS($C$3:$C23,$D$3:$D23,L$2)))</f>
        <v>-</v>
      </c>
      <c r="M23" s="2" t="str">
        <f>IF(M$1&gt;$Z$4,"-",IF(COUNTIF($D$3:$D23,M$2)=$Z$3,"Full",SUMIFS($C$3:$C23,$D$3:$D23,M$2)))</f>
        <v>-</v>
      </c>
      <c r="N23" s="2" t="str">
        <f>IF(N$1&gt;$Z$4,"-",IF(COUNTIF($D$3:$D23,N$2)=$Z$3,"Full",SUMIFS($C$3:$C23,$D$3:$D23,N$2)))</f>
        <v>-</v>
      </c>
      <c r="O23" s="2" t="str">
        <f>IF(O$1&gt;$Z$4,"-",IF(COUNTIF($D$3:$D23,O$2)=$Z$3,"Full",SUMIFS($C$3:$C23,$D$3:$D23,O$2)))</f>
        <v>-</v>
      </c>
      <c r="P23" s="2" t="str">
        <f>IF(P$1&gt;$Z$4,"-",IF(COUNTIF($D$3:$D23,P$2)=$Z$3,"Full",SUMIFS($C$3:$C23,$D$3:$D23,P$2)))</f>
        <v>-</v>
      </c>
      <c r="Q23" s="2" t="str">
        <f>IF(Q$1&gt;$Z$4,"-",IF(COUNTIF($D$3:$D23,Q$2)=$Z$3,"Full",SUMIFS($C$3:$C23,$D$3:$D23,Q$2)))</f>
        <v>-</v>
      </c>
      <c r="R23" s="2" t="str">
        <f>IF(R$1&gt;$Z$4,"-",IF(COUNTIF($D$3:$D23,R$2)=$Z$3,"Full",SUMIFS($C$3:$C23,$D$3:$D23,R$2)))</f>
        <v>-</v>
      </c>
      <c r="S23" s="2" t="str">
        <f>IF(S$1&gt;$Z$4,"-",IF(COUNTIF($D$3:$D23,S$2)=$Z$3,"Full",SUMIFS($C$3:$C23,$D$3:$D23,S$2)))</f>
        <v>-</v>
      </c>
      <c r="T23" s="11" t="str">
        <f>IF(T$1&gt;$Z$4,"-",IF(COUNTIF($D$3:$D23,T$2)=$Z$3,"Full",SUMIFS($C$3:$C23,$D$3:$D23,T$2)))</f>
        <v>-</v>
      </c>
      <c r="W23" s="2" t="s">
        <v>116</v>
      </c>
      <c r="Y23" s="38" t="s">
        <v>142</v>
      </c>
      <c r="Z23" s="39"/>
      <c r="AA23" s="38" t="s">
        <v>143</v>
      </c>
      <c r="AB23" s="39"/>
      <c r="AC23" s="38" t="s">
        <v>144</v>
      </c>
      <c r="AD23" s="39"/>
      <c r="AE23" s="38" t="s">
        <v>145</v>
      </c>
      <c r="AF23" s="39"/>
      <c r="AG23" s="38" t="s">
        <v>146</v>
      </c>
      <c r="AH23" s="39"/>
      <c r="AI23" s="38" t="s">
        <v>147</v>
      </c>
      <c r="AJ23" s="39"/>
      <c r="AK23" s="38" t="s">
        <v>148</v>
      </c>
      <c r="AL23" s="39"/>
      <c r="AM23" s="38" t="s">
        <v>149</v>
      </c>
      <c r="AN23" s="39"/>
      <c r="AO23" s="38" t="s">
        <v>150</v>
      </c>
      <c r="AP23" s="39"/>
      <c r="AQ23" s="38" t="s">
        <v>151</v>
      </c>
      <c r="AR23" s="39"/>
      <c r="AS23" s="38" t="s">
        <v>152</v>
      </c>
      <c r="AT23" s="39"/>
      <c r="AU23" s="38" t="s">
        <v>153</v>
      </c>
      <c r="AV23" s="39"/>
      <c r="AW23" s="38" t="s">
        <v>154</v>
      </c>
      <c r="AX23" s="39"/>
      <c r="AY23" s="38" t="s">
        <v>155</v>
      </c>
      <c r="AZ23" s="39"/>
      <c r="BA23" s="38" t="s">
        <v>156</v>
      </c>
      <c r="BB23" s="39"/>
      <c r="BC23" s="38" t="s">
        <v>157</v>
      </c>
      <c r="BD23" s="39"/>
    </row>
    <row r="24" spans="1:66" x14ac:dyDescent="0.25">
      <c r="A24" s="10">
        <f t="shared" si="1"/>
        <v>22</v>
      </c>
      <c r="B24" s="2" t="str">
        <v>Czech Republic</v>
      </c>
      <c r="C24" s="11">
        <v>3.17</v>
      </c>
      <c r="D24" s="14" t="str" cm="1">
        <f t="array" aca="1" ref="D24" ca="1">IFERROR(_xlfn.XLOOKUP(MIN(E23:INDIRECT($AA$4&amp;A24+1)),E23:INDIRECT($AA$4&amp;A24+1),$E$2:INDIRECT($AA$4&amp;"$2")),"-")</f>
        <v>-</v>
      </c>
      <c r="E24" s="10" t="str">
        <f ca="1">IF(E$1&gt;$Z$4,"-",IF(COUNTIF($D$3:$D24,E$2)=$Z$3,"Full",SUMIFS($C$3:$C24,$D$3:$D24,E$2)))</f>
        <v>Full</v>
      </c>
      <c r="F24" s="2" t="str">
        <f>IF(F$1&gt;$Z$4,"-",IF(COUNTIF($D$3:$D24,F$2)=$Z$3,"Full",SUMIFS($C$3:$C24,$D$3:$D24,F$2)))</f>
        <v>-</v>
      </c>
      <c r="G24" s="2" t="str">
        <f>IF(G$1&gt;$Z$4,"-",IF(COUNTIF($D$3:$D24,G$2)=$Z$3,"Full",SUMIFS($C$3:$C24,$D$3:$D24,G$2)))</f>
        <v>-</v>
      </c>
      <c r="H24" s="2" t="str">
        <f>IF(H$1&gt;$Z$4,"-",IF(COUNTIF($D$3:$D24,H$2)=$Z$3,"Full",SUMIFS($C$3:$C24,$D$3:$D24,H$2)))</f>
        <v>-</v>
      </c>
      <c r="I24" s="2" t="str">
        <f>IF(I$1&gt;$Z$4,"-",IF(COUNTIF($D$3:$D24,I$2)=$Z$3,"Full",SUMIFS($C$3:$C24,$D$3:$D24,I$2)))</f>
        <v>-</v>
      </c>
      <c r="J24" s="2" t="str">
        <f>IF(J$1&gt;$Z$4,"-",IF(COUNTIF($D$3:$D24,J$2)=$Z$3,"Full",SUMIFS($C$3:$C24,$D$3:$D24,J$2)))</f>
        <v>-</v>
      </c>
      <c r="K24" s="2" t="str">
        <f>IF(K$1&gt;$Z$4,"-",IF(COUNTIF($D$3:$D24,K$2)=$Z$3,"Full",SUMIFS($C$3:$C24,$D$3:$D24,K$2)))</f>
        <v>-</v>
      </c>
      <c r="L24" s="2" t="str">
        <f>IF(L$1&gt;$Z$4,"-",IF(COUNTIF($D$3:$D24,L$2)=$Z$3,"Full",SUMIFS($C$3:$C24,$D$3:$D24,L$2)))</f>
        <v>-</v>
      </c>
      <c r="M24" s="2" t="str">
        <f>IF(M$1&gt;$Z$4,"-",IF(COUNTIF($D$3:$D24,M$2)=$Z$3,"Full",SUMIFS($C$3:$C24,$D$3:$D24,M$2)))</f>
        <v>-</v>
      </c>
      <c r="N24" s="2" t="str">
        <f>IF(N$1&gt;$Z$4,"-",IF(COUNTIF($D$3:$D24,N$2)=$Z$3,"Full",SUMIFS($C$3:$C24,$D$3:$D24,N$2)))</f>
        <v>-</v>
      </c>
      <c r="O24" s="2" t="str">
        <f>IF(O$1&gt;$Z$4,"-",IF(COUNTIF($D$3:$D24,O$2)=$Z$3,"Full",SUMIFS($C$3:$C24,$D$3:$D24,O$2)))</f>
        <v>-</v>
      </c>
      <c r="P24" s="2" t="str">
        <f>IF(P$1&gt;$Z$4,"-",IF(COUNTIF($D$3:$D24,P$2)=$Z$3,"Full",SUMIFS($C$3:$C24,$D$3:$D24,P$2)))</f>
        <v>-</v>
      </c>
      <c r="Q24" s="2" t="str">
        <f>IF(Q$1&gt;$Z$4,"-",IF(COUNTIF($D$3:$D24,Q$2)=$Z$3,"Full",SUMIFS($C$3:$C24,$D$3:$D24,Q$2)))</f>
        <v>-</v>
      </c>
      <c r="R24" s="2" t="str">
        <f>IF(R$1&gt;$Z$4,"-",IF(COUNTIF($D$3:$D24,R$2)=$Z$3,"Full",SUMIFS($C$3:$C24,$D$3:$D24,R$2)))</f>
        <v>-</v>
      </c>
      <c r="S24" s="2" t="str">
        <f>IF(S$1&gt;$Z$4,"-",IF(COUNTIF($D$3:$D24,S$2)=$Z$3,"Full",SUMIFS($C$3:$C24,$D$3:$D24,S$2)))</f>
        <v>-</v>
      </c>
      <c r="T24" s="11" t="str">
        <f>IF(T$1&gt;$Z$4,"-",IF(COUNTIF($D$3:$D24,T$2)=$Z$3,"Full",SUMIFS($C$3:$C24,$D$3:$D24,T$2)))</f>
        <v>-</v>
      </c>
      <c r="Y24" s="19" t="s">
        <v>2</v>
      </c>
      <c r="Z24" s="31">
        <f>IF(ISBLANK(Y24),"-",_xlfn.XLOOKUP(Y24,Logic!$B$3:$B$274,Logic!$C$3:$C$274,0))</f>
        <v>15.95</v>
      </c>
      <c r="AA24" s="19"/>
      <c r="AB24" s="31" t="str">
        <f>IF(ISBLANK(AA24),"-",_xlfn.XLOOKUP(AA24,Logic!$B$3:$B$274,Logic!$C$3:$C$274,0))</f>
        <v>-</v>
      </c>
      <c r="AC24" s="19"/>
      <c r="AD24" s="31" t="str">
        <f>IF(ISBLANK(AC24),"-",_xlfn.XLOOKUP(AC24,Logic!$B$3:$B$274,Logic!$C$3:$C$274,0))</f>
        <v>-</v>
      </c>
      <c r="AE24" s="19"/>
      <c r="AF24" s="31" t="str">
        <f>IF(ISBLANK(AE24),"-",_xlfn.XLOOKUP(AE24,Logic!$B$3:$B$274,Logic!$C$3:$C$274,0))</f>
        <v>-</v>
      </c>
      <c r="AG24" s="19"/>
      <c r="AH24" s="31" t="str">
        <f>IF(ISBLANK(AG24),"-",_xlfn.XLOOKUP(AG24,Logic!$B$3:$B$274,Logic!$C$3:$C$274,0))</f>
        <v>-</v>
      </c>
      <c r="AI24" s="19"/>
      <c r="AJ24" s="31" t="str">
        <f>IF(ISBLANK(AI24),"-",_xlfn.XLOOKUP(AI24,Logic!$B$3:$B$274,Logic!$C$3:$C$274,0))</f>
        <v>-</v>
      </c>
      <c r="AK24" s="19"/>
      <c r="AL24" s="31" t="str">
        <f>IF(ISBLANK(AK24),"-",_xlfn.XLOOKUP(AK24,Logic!$B$3:$B$274,Logic!$C$3:$C$274,0))</f>
        <v>-</v>
      </c>
      <c r="AM24" s="19"/>
      <c r="AN24" s="31" t="str">
        <f>IF(ISBLANK(AM24),"-",_xlfn.XLOOKUP(AM24,Logic!$B$3:$B$274,Logic!$C$3:$C$274,0))</f>
        <v>-</v>
      </c>
      <c r="AO24" s="19"/>
      <c r="AP24" s="31" t="str">
        <f>IF(ISBLANK(AO24),"-",_xlfn.XLOOKUP(AO24,Logic!$B$3:$B$274,Logic!$C$3:$C$274,0))</f>
        <v>-</v>
      </c>
      <c r="AQ24" s="19"/>
      <c r="AR24" s="31" t="str">
        <f>IF(ISBLANK(AQ24),"-",_xlfn.XLOOKUP(AQ24,Logic!$B$3:$B$274,Logic!$C$3:$C$274,0))</f>
        <v>-</v>
      </c>
      <c r="AS24" s="19"/>
      <c r="AT24" s="31" t="str">
        <f>IF(ISBLANK(AS24),"-",_xlfn.XLOOKUP(AS24,Logic!$B$3:$B$274,Logic!$C$3:$C$274,0))</f>
        <v>-</v>
      </c>
      <c r="AU24" s="19"/>
      <c r="AV24" s="31" t="str">
        <f>IF(ISBLANK(AU24),"-",_xlfn.XLOOKUP(AU24,Logic!$B$3:$B$274,Logic!$C$3:$C$274,0))</f>
        <v>-</v>
      </c>
      <c r="AW24" s="19"/>
      <c r="AX24" s="31" t="str">
        <f>IF(ISBLANK(AW24),"-",_xlfn.XLOOKUP(AW24,Logic!$B$3:$B$274,Logic!$C$3:$C$274,0))</f>
        <v>-</v>
      </c>
      <c r="AY24" s="19"/>
      <c r="AZ24" s="31" t="str">
        <f>IF(ISBLANK(AY24),"-",_xlfn.XLOOKUP(AY24,Logic!$B$3:$B$274,Logic!$C$3:$C$274,0))</f>
        <v>-</v>
      </c>
      <c r="BA24" s="19"/>
      <c r="BB24" s="31" t="str">
        <f>IF(ISBLANK(BA24),"-",_xlfn.XLOOKUP(BA24,Logic!$B$3:$B$274,Logic!$C$3:$C$274,0))</f>
        <v>-</v>
      </c>
      <c r="BC24" s="19"/>
      <c r="BD24" s="31" t="str">
        <f>IF(ISBLANK(BC24),"-",_xlfn.XLOOKUP(BC24,Logic!$B$3:$B$274,Logic!$C$3:$C$274,0))</f>
        <v>-</v>
      </c>
    </row>
    <row r="25" spans="1:66" x14ac:dyDescent="0.25">
      <c r="A25" s="10">
        <f t="shared" si="1"/>
        <v>23</v>
      </c>
      <c r="B25" s="2" t="str">
        <v>Croatia</v>
      </c>
      <c r="C25" s="11">
        <v>3</v>
      </c>
      <c r="D25" s="14" t="str" cm="1">
        <f t="array" aca="1" ref="D25" ca="1">IFERROR(_xlfn.XLOOKUP(MIN(E24:INDIRECT($AA$4&amp;A25+1)),E24:INDIRECT($AA$4&amp;A25+1),$E$2:INDIRECT($AA$4&amp;"$2")),"-")</f>
        <v>-</v>
      </c>
      <c r="E25" s="10" t="str">
        <f ca="1">IF(E$1&gt;$Z$4,"-",IF(COUNTIF($D$3:$D25,E$2)=$Z$3,"Full",SUMIFS($C$3:$C25,$D$3:$D25,E$2)))</f>
        <v>Full</v>
      </c>
      <c r="F25" s="2" t="str">
        <f>IF(F$1&gt;$Z$4,"-",IF(COUNTIF($D$3:$D25,F$2)=$Z$3,"Full",SUMIFS($C$3:$C25,$D$3:$D25,F$2)))</f>
        <v>-</v>
      </c>
      <c r="G25" s="2" t="str">
        <f>IF(G$1&gt;$Z$4,"-",IF(COUNTIF($D$3:$D25,G$2)=$Z$3,"Full",SUMIFS($C$3:$C25,$D$3:$D25,G$2)))</f>
        <v>-</v>
      </c>
      <c r="H25" s="2" t="str">
        <f>IF(H$1&gt;$Z$4,"-",IF(COUNTIF($D$3:$D25,H$2)=$Z$3,"Full",SUMIFS($C$3:$C25,$D$3:$D25,H$2)))</f>
        <v>-</v>
      </c>
      <c r="I25" s="2" t="str">
        <f>IF(I$1&gt;$Z$4,"-",IF(COUNTIF($D$3:$D25,I$2)=$Z$3,"Full",SUMIFS($C$3:$C25,$D$3:$D25,I$2)))</f>
        <v>-</v>
      </c>
      <c r="J25" s="2" t="str">
        <f>IF(J$1&gt;$Z$4,"-",IF(COUNTIF($D$3:$D25,J$2)=$Z$3,"Full",SUMIFS($C$3:$C25,$D$3:$D25,J$2)))</f>
        <v>-</v>
      </c>
      <c r="K25" s="2" t="str">
        <f>IF(K$1&gt;$Z$4,"-",IF(COUNTIF($D$3:$D25,K$2)=$Z$3,"Full",SUMIFS($C$3:$C25,$D$3:$D25,K$2)))</f>
        <v>-</v>
      </c>
      <c r="L25" s="2" t="str">
        <f>IF(L$1&gt;$Z$4,"-",IF(COUNTIF($D$3:$D25,L$2)=$Z$3,"Full",SUMIFS($C$3:$C25,$D$3:$D25,L$2)))</f>
        <v>-</v>
      </c>
      <c r="M25" s="2" t="str">
        <f>IF(M$1&gt;$Z$4,"-",IF(COUNTIF($D$3:$D25,M$2)=$Z$3,"Full",SUMIFS($C$3:$C25,$D$3:$D25,M$2)))</f>
        <v>-</v>
      </c>
      <c r="N25" s="2" t="str">
        <f>IF(N$1&gt;$Z$4,"-",IF(COUNTIF($D$3:$D25,N$2)=$Z$3,"Full",SUMIFS($C$3:$C25,$D$3:$D25,N$2)))</f>
        <v>-</v>
      </c>
      <c r="O25" s="2" t="str">
        <f>IF(O$1&gt;$Z$4,"-",IF(COUNTIF($D$3:$D25,O$2)=$Z$3,"Full",SUMIFS($C$3:$C25,$D$3:$D25,O$2)))</f>
        <v>-</v>
      </c>
      <c r="P25" s="2" t="str">
        <f>IF(P$1&gt;$Z$4,"-",IF(COUNTIF($D$3:$D25,P$2)=$Z$3,"Full",SUMIFS($C$3:$C25,$D$3:$D25,P$2)))</f>
        <v>-</v>
      </c>
      <c r="Q25" s="2" t="str">
        <f>IF(Q$1&gt;$Z$4,"-",IF(COUNTIF($D$3:$D25,Q$2)=$Z$3,"Full",SUMIFS($C$3:$C25,$D$3:$D25,Q$2)))</f>
        <v>-</v>
      </c>
      <c r="R25" s="2" t="str">
        <f>IF(R$1&gt;$Z$4,"-",IF(COUNTIF($D$3:$D25,R$2)=$Z$3,"Full",SUMIFS($C$3:$C25,$D$3:$D25,R$2)))</f>
        <v>-</v>
      </c>
      <c r="S25" s="2" t="str">
        <f>IF(S$1&gt;$Z$4,"-",IF(COUNTIF($D$3:$D25,S$2)=$Z$3,"Full",SUMIFS($C$3:$C25,$D$3:$D25,S$2)))</f>
        <v>-</v>
      </c>
      <c r="T25" s="11" t="str">
        <f>IF(T$1&gt;$Z$4,"-",IF(COUNTIF($D$3:$D25,T$2)=$Z$3,"Full",SUMIFS($C$3:$C25,$D$3:$D25,T$2)))</f>
        <v>-</v>
      </c>
      <c r="Y25" s="21"/>
      <c r="Z25" s="32" t="str">
        <f>IF(ISBLANK(Y25),"-",_xlfn.XLOOKUP(Y25,Logic!$B$3:$B$274,Logic!$C$3:$C$274,0))</f>
        <v>-</v>
      </c>
      <c r="AA25" s="21"/>
      <c r="AB25" s="32" t="str">
        <f>IF(ISBLANK(AA25),"-",_xlfn.XLOOKUP(AA25,Logic!$B$3:$B$274,Logic!$C$3:$C$274,0))</f>
        <v>-</v>
      </c>
      <c r="AC25" s="21"/>
      <c r="AD25" s="32" t="str">
        <f>IF(ISBLANK(AC25),"-",_xlfn.XLOOKUP(AC25,Logic!$B$3:$B$274,Logic!$C$3:$C$274,0))</f>
        <v>-</v>
      </c>
      <c r="AE25" s="21"/>
      <c r="AF25" s="32" t="str">
        <f>IF(ISBLANK(AE25),"-",_xlfn.XLOOKUP(AE25,Logic!$B$3:$B$274,Logic!$C$3:$C$274,0))</f>
        <v>-</v>
      </c>
      <c r="AG25" s="21"/>
      <c r="AH25" s="32" t="str">
        <f>IF(ISBLANK(AG25),"-",_xlfn.XLOOKUP(AG25,Logic!$B$3:$B$274,Logic!$C$3:$C$274,0))</f>
        <v>-</v>
      </c>
      <c r="AI25" s="21"/>
      <c r="AJ25" s="32" t="str">
        <f>IF(ISBLANK(AI25),"-",_xlfn.XLOOKUP(AI25,Logic!$B$3:$B$274,Logic!$C$3:$C$274,0))</f>
        <v>-</v>
      </c>
      <c r="AK25" s="21"/>
      <c r="AL25" s="32" t="str">
        <f>IF(ISBLANK(AK25),"-",_xlfn.XLOOKUP(AK25,Logic!$B$3:$B$274,Logic!$C$3:$C$274,0))</f>
        <v>-</v>
      </c>
      <c r="AM25" s="21"/>
      <c r="AN25" s="32" t="str">
        <f>IF(ISBLANK(AM25),"-",_xlfn.XLOOKUP(AM25,Logic!$B$3:$B$274,Logic!$C$3:$C$274,0))</f>
        <v>-</v>
      </c>
      <c r="AO25" s="21"/>
      <c r="AP25" s="32" t="str">
        <f>IF(ISBLANK(AO25),"-",_xlfn.XLOOKUP(AO25,Logic!$B$3:$B$274,Logic!$C$3:$C$274,0))</f>
        <v>-</v>
      </c>
      <c r="AQ25" s="21"/>
      <c r="AR25" s="32" t="str">
        <f>IF(ISBLANK(AQ25),"-",_xlfn.XLOOKUP(AQ25,Logic!$B$3:$B$274,Logic!$C$3:$C$274,0))</f>
        <v>-</v>
      </c>
      <c r="AS25" s="21"/>
      <c r="AT25" s="32" t="str">
        <f>IF(ISBLANK(AS25),"-",_xlfn.XLOOKUP(AS25,Logic!$B$3:$B$274,Logic!$C$3:$C$274,0))</f>
        <v>-</v>
      </c>
      <c r="AU25" s="21"/>
      <c r="AV25" s="32" t="str">
        <f>IF(ISBLANK(AU25),"-",_xlfn.XLOOKUP(AU25,Logic!$B$3:$B$274,Logic!$C$3:$C$274,0))</f>
        <v>-</v>
      </c>
      <c r="AW25" s="21"/>
      <c r="AX25" s="32" t="str">
        <f>IF(ISBLANK(AW25),"-",_xlfn.XLOOKUP(AW25,Logic!$B$3:$B$274,Logic!$C$3:$C$274,0))</f>
        <v>-</v>
      </c>
      <c r="AY25" s="21"/>
      <c r="AZ25" s="32" t="str">
        <f>IF(ISBLANK(AY25),"-",_xlfn.XLOOKUP(AY25,Logic!$B$3:$B$274,Logic!$C$3:$C$274,0))</f>
        <v>-</v>
      </c>
      <c r="BA25" s="21"/>
      <c r="BB25" s="32" t="str">
        <f>IF(ISBLANK(BA25),"-",_xlfn.XLOOKUP(BA25,Logic!$B$3:$B$274,Logic!$C$3:$C$274,0))</f>
        <v>-</v>
      </c>
      <c r="BC25" s="21"/>
      <c r="BD25" s="32" t="str">
        <f>IF(ISBLANK(BC25),"-",_xlfn.XLOOKUP(BC25,Logic!$B$3:$B$274,Logic!$C$3:$C$274,0))</f>
        <v>-</v>
      </c>
    </row>
    <row r="26" spans="1:66" x14ac:dyDescent="0.25">
      <c r="A26" s="10">
        <f t="shared" si="1"/>
        <v>24</v>
      </c>
      <c r="B26" s="2" t="str">
        <v>Uzbekistan</v>
      </c>
      <c r="C26" s="11">
        <v>2.99</v>
      </c>
      <c r="D26" s="14" t="str" cm="1">
        <f t="array" aca="1" ref="D26" ca="1">IFERROR(_xlfn.XLOOKUP(MIN(E25:INDIRECT($AA$4&amp;A26+1)),E25:INDIRECT($AA$4&amp;A26+1),$E$2:INDIRECT($AA$4&amp;"$2")),"-")</f>
        <v>-</v>
      </c>
      <c r="E26" s="10" t="str">
        <f ca="1">IF(E$1&gt;$Z$4,"-",IF(COUNTIF($D$3:$D26,E$2)=$Z$3,"Full",SUMIFS($C$3:$C26,$D$3:$D26,E$2)))</f>
        <v>Full</v>
      </c>
      <c r="F26" s="2" t="str">
        <f>IF(F$1&gt;$Z$4,"-",IF(COUNTIF($D$3:$D26,F$2)=$Z$3,"Full",SUMIFS($C$3:$C26,$D$3:$D26,F$2)))</f>
        <v>-</v>
      </c>
      <c r="G26" s="2" t="str">
        <f>IF(G$1&gt;$Z$4,"-",IF(COUNTIF($D$3:$D26,G$2)=$Z$3,"Full",SUMIFS($C$3:$C26,$D$3:$D26,G$2)))</f>
        <v>-</v>
      </c>
      <c r="H26" s="2" t="str">
        <f>IF(H$1&gt;$Z$4,"-",IF(COUNTIF($D$3:$D26,H$2)=$Z$3,"Full",SUMIFS($C$3:$C26,$D$3:$D26,H$2)))</f>
        <v>-</v>
      </c>
      <c r="I26" s="2" t="str">
        <f>IF(I$1&gt;$Z$4,"-",IF(COUNTIF($D$3:$D26,I$2)=$Z$3,"Full",SUMIFS($C$3:$C26,$D$3:$D26,I$2)))</f>
        <v>-</v>
      </c>
      <c r="J26" s="2" t="str">
        <f>IF(J$1&gt;$Z$4,"-",IF(COUNTIF($D$3:$D26,J$2)=$Z$3,"Full",SUMIFS($C$3:$C26,$D$3:$D26,J$2)))</f>
        <v>-</v>
      </c>
      <c r="K26" s="2" t="str">
        <f>IF(K$1&gt;$Z$4,"-",IF(COUNTIF($D$3:$D26,K$2)=$Z$3,"Full",SUMIFS($C$3:$C26,$D$3:$D26,K$2)))</f>
        <v>-</v>
      </c>
      <c r="L26" s="2" t="str">
        <f>IF(L$1&gt;$Z$4,"-",IF(COUNTIF($D$3:$D26,L$2)=$Z$3,"Full",SUMIFS($C$3:$C26,$D$3:$D26,L$2)))</f>
        <v>-</v>
      </c>
      <c r="M26" s="2" t="str">
        <f>IF(M$1&gt;$Z$4,"-",IF(COUNTIF($D$3:$D26,M$2)=$Z$3,"Full",SUMIFS($C$3:$C26,$D$3:$D26,M$2)))</f>
        <v>-</v>
      </c>
      <c r="N26" s="2" t="str">
        <f>IF(N$1&gt;$Z$4,"-",IF(COUNTIF($D$3:$D26,N$2)=$Z$3,"Full",SUMIFS($C$3:$C26,$D$3:$D26,N$2)))</f>
        <v>-</v>
      </c>
      <c r="O26" s="2" t="str">
        <f>IF(O$1&gt;$Z$4,"-",IF(COUNTIF($D$3:$D26,O$2)=$Z$3,"Full",SUMIFS($C$3:$C26,$D$3:$D26,O$2)))</f>
        <v>-</v>
      </c>
      <c r="P26" s="2" t="str">
        <f>IF(P$1&gt;$Z$4,"-",IF(COUNTIF($D$3:$D26,P$2)=$Z$3,"Full",SUMIFS($C$3:$C26,$D$3:$D26,P$2)))</f>
        <v>-</v>
      </c>
      <c r="Q26" s="2" t="str">
        <f>IF(Q$1&gt;$Z$4,"-",IF(COUNTIF($D$3:$D26,Q$2)=$Z$3,"Full",SUMIFS($C$3:$C26,$D$3:$D26,Q$2)))</f>
        <v>-</v>
      </c>
      <c r="R26" s="2" t="str">
        <f>IF(R$1&gt;$Z$4,"-",IF(COUNTIF($D$3:$D26,R$2)=$Z$3,"Full",SUMIFS($C$3:$C26,$D$3:$D26,R$2)))</f>
        <v>-</v>
      </c>
      <c r="S26" s="2" t="str">
        <f>IF(S$1&gt;$Z$4,"-",IF(COUNTIF($D$3:$D26,S$2)=$Z$3,"Full",SUMIFS($C$3:$C26,$D$3:$D26,S$2)))</f>
        <v>-</v>
      </c>
      <c r="T26" s="11" t="str">
        <f>IF(T$1&gt;$Z$4,"-",IF(COUNTIF($D$3:$D26,T$2)=$Z$3,"Full",SUMIFS($C$3:$C26,$D$3:$D26,T$2)))</f>
        <v>-</v>
      </c>
      <c r="Y26" s="21"/>
      <c r="Z26" s="32" t="str">
        <f>IF(ISBLANK(Y26),"-",_xlfn.XLOOKUP(Y26,Logic!$B$3:$B$274,Logic!$C$3:$C$274,0))</f>
        <v>-</v>
      </c>
      <c r="AA26" s="21"/>
      <c r="AB26" s="32" t="str">
        <f>IF(ISBLANK(AA26),"-",_xlfn.XLOOKUP(AA26,Logic!$B$3:$B$274,Logic!$C$3:$C$274,0))</f>
        <v>-</v>
      </c>
      <c r="AC26" s="21"/>
      <c r="AD26" s="32" t="str">
        <f>IF(ISBLANK(AC26),"-",_xlfn.XLOOKUP(AC26,Logic!$B$3:$B$274,Logic!$C$3:$C$274,0))</f>
        <v>-</v>
      </c>
      <c r="AE26" s="21"/>
      <c r="AF26" s="32" t="str">
        <f>IF(ISBLANK(AE26),"-",_xlfn.XLOOKUP(AE26,Logic!$B$3:$B$274,Logic!$C$3:$C$274,0))</f>
        <v>-</v>
      </c>
      <c r="AG26" s="21"/>
      <c r="AH26" s="32" t="str">
        <f>IF(ISBLANK(AG26),"-",_xlfn.XLOOKUP(AG26,Logic!$B$3:$B$274,Logic!$C$3:$C$274,0))</f>
        <v>-</v>
      </c>
      <c r="AI26" s="21"/>
      <c r="AJ26" s="32" t="str">
        <f>IF(ISBLANK(AI26),"-",_xlfn.XLOOKUP(AI26,Logic!$B$3:$B$274,Logic!$C$3:$C$274,0))</f>
        <v>-</v>
      </c>
      <c r="AK26" s="21"/>
      <c r="AL26" s="32" t="str">
        <f>IF(ISBLANK(AK26),"-",_xlfn.XLOOKUP(AK26,Logic!$B$3:$B$274,Logic!$C$3:$C$274,0))</f>
        <v>-</v>
      </c>
      <c r="AM26" s="21"/>
      <c r="AN26" s="32" t="str">
        <f>IF(ISBLANK(AM26),"-",_xlfn.XLOOKUP(AM26,Logic!$B$3:$B$274,Logic!$C$3:$C$274,0))</f>
        <v>-</v>
      </c>
      <c r="AO26" s="21"/>
      <c r="AP26" s="32" t="str">
        <f>IF(ISBLANK(AO26),"-",_xlfn.XLOOKUP(AO26,Logic!$B$3:$B$274,Logic!$C$3:$C$274,0))</f>
        <v>-</v>
      </c>
      <c r="AQ26" s="21"/>
      <c r="AR26" s="32" t="str">
        <f>IF(ISBLANK(AQ26),"-",_xlfn.XLOOKUP(AQ26,Logic!$B$3:$B$274,Logic!$C$3:$C$274,0))</f>
        <v>-</v>
      </c>
      <c r="AS26" s="21"/>
      <c r="AT26" s="32" t="str">
        <f>IF(ISBLANK(AS26),"-",_xlfn.XLOOKUP(AS26,Logic!$B$3:$B$274,Logic!$C$3:$C$274,0))</f>
        <v>-</v>
      </c>
      <c r="AU26" s="21"/>
      <c r="AV26" s="32" t="str">
        <f>IF(ISBLANK(AU26),"-",_xlfn.XLOOKUP(AU26,Logic!$B$3:$B$274,Logic!$C$3:$C$274,0))</f>
        <v>-</v>
      </c>
      <c r="AW26" s="21"/>
      <c r="AX26" s="32" t="str">
        <f>IF(ISBLANK(AW26),"-",_xlfn.XLOOKUP(AW26,Logic!$B$3:$B$274,Logic!$C$3:$C$274,0))</f>
        <v>-</v>
      </c>
      <c r="AY26" s="21"/>
      <c r="AZ26" s="32" t="str">
        <f>IF(ISBLANK(AY26),"-",_xlfn.XLOOKUP(AY26,Logic!$B$3:$B$274,Logic!$C$3:$C$274,0))</f>
        <v>-</v>
      </c>
      <c r="BA26" s="21"/>
      <c r="BB26" s="32" t="str">
        <f>IF(ISBLANK(BA26),"-",_xlfn.XLOOKUP(BA26,Logic!$B$3:$B$274,Logic!$C$3:$C$274,0))</f>
        <v>-</v>
      </c>
      <c r="BC26" s="21"/>
      <c r="BD26" s="32" t="str">
        <f>IF(ISBLANK(BC26),"-",_xlfn.XLOOKUP(BC26,Logic!$B$3:$B$274,Logic!$C$3:$C$274,0))</f>
        <v>-</v>
      </c>
    </row>
    <row r="27" spans="1:66" x14ac:dyDescent="0.25">
      <c r="A27" s="10">
        <f t="shared" si="1"/>
        <v>25</v>
      </c>
      <c r="B27" s="2" t="str">
        <v>Belgium</v>
      </c>
      <c r="C27" s="11">
        <v>2.98</v>
      </c>
      <c r="D27" s="14" t="str" cm="1">
        <f t="array" aca="1" ref="D27" ca="1">IFERROR(_xlfn.XLOOKUP(MIN(E26:INDIRECT($AA$4&amp;A27+1)),E26:INDIRECT($AA$4&amp;A27+1),$E$2:INDIRECT($AA$4&amp;"$2")),"-")</f>
        <v>-</v>
      </c>
      <c r="E27" s="10" t="str">
        <f ca="1">IF(E$1&gt;$Z$4,"-",IF(COUNTIF($D$3:$D27,E$2)=$Z$3,"Full",SUMIFS($C$3:$C27,$D$3:$D27,E$2)))</f>
        <v>Full</v>
      </c>
      <c r="F27" s="2" t="str">
        <f>IF(F$1&gt;$Z$4,"-",IF(COUNTIF($D$3:$D27,F$2)=$Z$3,"Full",SUMIFS($C$3:$C27,$D$3:$D27,F$2)))</f>
        <v>-</v>
      </c>
      <c r="G27" s="2" t="str">
        <f>IF(G$1&gt;$Z$4,"-",IF(COUNTIF($D$3:$D27,G$2)=$Z$3,"Full",SUMIFS($C$3:$C27,$D$3:$D27,G$2)))</f>
        <v>-</v>
      </c>
      <c r="H27" s="2" t="str">
        <f>IF(H$1&gt;$Z$4,"-",IF(COUNTIF($D$3:$D27,H$2)=$Z$3,"Full",SUMIFS($C$3:$C27,$D$3:$D27,H$2)))</f>
        <v>-</v>
      </c>
      <c r="I27" s="2" t="str">
        <f>IF(I$1&gt;$Z$4,"-",IF(COUNTIF($D$3:$D27,I$2)=$Z$3,"Full",SUMIFS($C$3:$C27,$D$3:$D27,I$2)))</f>
        <v>-</v>
      </c>
      <c r="J27" s="2" t="str">
        <f>IF(J$1&gt;$Z$4,"-",IF(COUNTIF($D$3:$D27,J$2)=$Z$3,"Full",SUMIFS($C$3:$C27,$D$3:$D27,J$2)))</f>
        <v>-</v>
      </c>
      <c r="K27" s="2" t="str">
        <f>IF(K$1&gt;$Z$4,"-",IF(COUNTIF($D$3:$D27,K$2)=$Z$3,"Full",SUMIFS($C$3:$C27,$D$3:$D27,K$2)))</f>
        <v>-</v>
      </c>
      <c r="L27" s="2" t="str">
        <f>IF(L$1&gt;$Z$4,"-",IF(COUNTIF($D$3:$D27,L$2)=$Z$3,"Full",SUMIFS($C$3:$C27,$D$3:$D27,L$2)))</f>
        <v>-</v>
      </c>
      <c r="M27" s="2" t="str">
        <f>IF(M$1&gt;$Z$4,"-",IF(COUNTIF($D$3:$D27,M$2)=$Z$3,"Full",SUMIFS($C$3:$C27,$D$3:$D27,M$2)))</f>
        <v>-</v>
      </c>
      <c r="N27" s="2" t="str">
        <f>IF(N$1&gt;$Z$4,"-",IF(COUNTIF($D$3:$D27,N$2)=$Z$3,"Full",SUMIFS($C$3:$C27,$D$3:$D27,N$2)))</f>
        <v>-</v>
      </c>
      <c r="O27" s="2" t="str">
        <f>IF(O$1&gt;$Z$4,"-",IF(COUNTIF($D$3:$D27,O$2)=$Z$3,"Full",SUMIFS($C$3:$C27,$D$3:$D27,O$2)))</f>
        <v>-</v>
      </c>
      <c r="P27" s="2" t="str">
        <f>IF(P$1&gt;$Z$4,"-",IF(COUNTIF($D$3:$D27,P$2)=$Z$3,"Full",SUMIFS($C$3:$C27,$D$3:$D27,P$2)))</f>
        <v>-</v>
      </c>
      <c r="Q27" s="2" t="str">
        <f>IF(Q$1&gt;$Z$4,"-",IF(COUNTIF($D$3:$D27,Q$2)=$Z$3,"Full",SUMIFS($C$3:$C27,$D$3:$D27,Q$2)))</f>
        <v>-</v>
      </c>
      <c r="R27" s="2" t="str">
        <f>IF(R$1&gt;$Z$4,"-",IF(COUNTIF($D$3:$D27,R$2)=$Z$3,"Full",SUMIFS($C$3:$C27,$D$3:$D27,R$2)))</f>
        <v>-</v>
      </c>
      <c r="S27" s="2" t="str">
        <f>IF(S$1&gt;$Z$4,"-",IF(COUNTIF($D$3:$D27,S$2)=$Z$3,"Full",SUMIFS($C$3:$C27,$D$3:$D27,S$2)))</f>
        <v>-</v>
      </c>
      <c r="T27" s="11" t="str">
        <f>IF(T$1&gt;$Z$4,"-",IF(COUNTIF($D$3:$D27,T$2)=$Z$3,"Full",SUMIFS($C$3:$C27,$D$3:$D27,T$2)))</f>
        <v>-</v>
      </c>
      <c r="Y27" s="21"/>
      <c r="Z27" s="32" t="str">
        <f>IF(ISBLANK(Y27),"-",_xlfn.XLOOKUP(Y27,Logic!$B$3:$B$274,Logic!$C$3:$C$274,0))</f>
        <v>-</v>
      </c>
      <c r="AA27" s="21"/>
      <c r="AB27" s="32" t="str">
        <f>IF(ISBLANK(AA27),"-",_xlfn.XLOOKUP(AA27,Logic!$B$3:$B$274,Logic!$C$3:$C$274,0))</f>
        <v>-</v>
      </c>
      <c r="AC27" s="21"/>
      <c r="AD27" s="32" t="str">
        <f>IF(ISBLANK(AC27),"-",_xlfn.XLOOKUP(AC27,Logic!$B$3:$B$274,Logic!$C$3:$C$274,0))</f>
        <v>-</v>
      </c>
      <c r="AE27" s="21"/>
      <c r="AF27" s="32" t="str">
        <f>IF(ISBLANK(AE27),"-",_xlfn.XLOOKUP(AE27,Logic!$B$3:$B$274,Logic!$C$3:$C$274,0))</f>
        <v>-</v>
      </c>
      <c r="AG27" s="21"/>
      <c r="AH27" s="32" t="str">
        <f>IF(ISBLANK(AG27),"-",_xlfn.XLOOKUP(AG27,Logic!$B$3:$B$274,Logic!$C$3:$C$274,0))</f>
        <v>-</v>
      </c>
      <c r="AI27" s="21"/>
      <c r="AJ27" s="32" t="str">
        <f>IF(ISBLANK(AI27),"-",_xlfn.XLOOKUP(AI27,Logic!$B$3:$B$274,Logic!$C$3:$C$274,0))</f>
        <v>-</v>
      </c>
      <c r="AK27" s="21"/>
      <c r="AL27" s="32" t="str">
        <f>IF(ISBLANK(AK27),"-",_xlfn.XLOOKUP(AK27,Logic!$B$3:$B$274,Logic!$C$3:$C$274,0))</f>
        <v>-</v>
      </c>
      <c r="AM27" s="21"/>
      <c r="AN27" s="32" t="str">
        <f>IF(ISBLANK(AM27),"-",_xlfn.XLOOKUP(AM27,Logic!$B$3:$B$274,Logic!$C$3:$C$274,0))</f>
        <v>-</v>
      </c>
      <c r="AO27" s="21"/>
      <c r="AP27" s="32" t="str">
        <f>IF(ISBLANK(AO27),"-",_xlfn.XLOOKUP(AO27,Logic!$B$3:$B$274,Logic!$C$3:$C$274,0))</f>
        <v>-</v>
      </c>
      <c r="AQ27" s="21"/>
      <c r="AR27" s="32" t="str">
        <f>IF(ISBLANK(AQ27),"-",_xlfn.XLOOKUP(AQ27,Logic!$B$3:$B$274,Logic!$C$3:$C$274,0))</f>
        <v>-</v>
      </c>
      <c r="AS27" s="21"/>
      <c r="AT27" s="32" t="str">
        <f>IF(ISBLANK(AS27),"-",_xlfn.XLOOKUP(AS27,Logic!$B$3:$B$274,Logic!$C$3:$C$274,0))</f>
        <v>-</v>
      </c>
      <c r="AU27" s="21"/>
      <c r="AV27" s="32" t="str">
        <f>IF(ISBLANK(AU27),"-",_xlfn.XLOOKUP(AU27,Logic!$B$3:$B$274,Logic!$C$3:$C$274,0))</f>
        <v>-</v>
      </c>
      <c r="AW27" s="21"/>
      <c r="AX27" s="32" t="str">
        <f>IF(ISBLANK(AW27),"-",_xlfn.XLOOKUP(AW27,Logic!$B$3:$B$274,Logic!$C$3:$C$274,0))</f>
        <v>-</v>
      </c>
      <c r="AY27" s="21"/>
      <c r="AZ27" s="32" t="str">
        <f>IF(ISBLANK(AY27),"-",_xlfn.XLOOKUP(AY27,Logic!$B$3:$B$274,Logic!$C$3:$C$274,0))</f>
        <v>-</v>
      </c>
      <c r="BA27" s="21"/>
      <c r="BB27" s="32" t="str">
        <f>IF(ISBLANK(BA27),"-",_xlfn.XLOOKUP(BA27,Logic!$B$3:$B$274,Logic!$C$3:$C$274,0))</f>
        <v>-</v>
      </c>
      <c r="BC27" s="21"/>
      <c r="BD27" s="32" t="str">
        <f>IF(ISBLANK(BC27),"-",_xlfn.XLOOKUP(BC27,Logic!$B$3:$B$274,Logic!$C$3:$C$274,0))</f>
        <v>-</v>
      </c>
    </row>
    <row r="28" spans="1:66" x14ac:dyDescent="0.25">
      <c r="A28" s="10">
        <f t="shared" si="1"/>
        <v>26</v>
      </c>
      <c r="B28" s="2" t="str">
        <v>Georgia</v>
      </c>
      <c r="C28" s="11">
        <v>2.98</v>
      </c>
      <c r="D28" s="14" t="str" cm="1">
        <f t="array" aca="1" ref="D28" ca="1">IFERROR(_xlfn.XLOOKUP(MIN(E27:INDIRECT($AA$4&amp;A28+1)),E27:INDIRECT($AA$4&amp;A28+1),$E$2:INDIRECT($AA$4&amp;"$2")),"-")</f>
        <v>-</v>
      </c>
      <c r="E28" s="10" t="str">
        <f ca="1">IF(E$1&gt;$Z$4,"-",IF(COUNTIF($D$3:$D28,E$2)=$Z$3,"Full",SUMIFS($C$3:$C28,$D$3:$D28,E$2)))</f>
        <v>Full</v>
      </c>
      <c r="F28" s="2" t="str">
        <f>IF(F$1&gt;$Z$4,"-",IF(COUNTIF($D$3:$D28,F$2)=$Z$3,"Full",SUMIFS($C$3:$C28,$D$3:$D28,F$2)))</f>
        <v>-</v>
      </c>
      <c r="G28" s="2" t="str">
        <f>IF(G$1&gt;$Z$4,"-",IF(COUNTIF($D$3:$D28,G$2)=$Z$3,"Full",SUMIFS($C$3:$C28,$D$3:$D28,G$2)))</f>
        <v>-</v>
      </c>
      <c r="H28" s="2" t="str">
        <f>IF(H$1&gt;$Z$4,"-",IF(COUNTIF($D$3:$D28,H$2)=$Z$3,"Full",SUMIFS($C$3:$C28,$D$3:$D28,H$2)))</f>
        <v>-</v>
      </c>
      <c r="I28" s="2" t="str">
        <f>IF(I$1&gt;$Z$4,"-",IF(COUNTIF($D$3:$D28,I$2)=$Z$3,"Full",SUMIFS($C$3:$C28,$D$3:$D28,I$2)))</f>
        <v>-</v>
      </c>
      <c r="J28" s="2" t="str">
        <f>IF(J$1&gt;$Z$4,"-",IF(COUNTIF($D$3:$D28,J$2)=$Z$3,"Full",SUMIFS($C$3:$C28,$D$3:$D28,J$2)))</f>
        <v>-</v>
      </c>
      <c r="K28" s="2" t="str">
        <f>IF(K$1&gt;$Z$4,"-",IF(COUNTIF($D$3:$D28,K$2)=$Z$3,"Full",SUMIFS($C$3:$C28,$D$3:$D28,K$2)))</f>
        <v>-</v>
      </c>
      <c r="L28" s="2" t="str">
        <f>IF(L$1&gt;$Z$4,"-",IF(COUNTIF($D$3:$D28,L$2)=$Z$3,"Full",SUMIFS($C$3:$C28,$D$3:$D28,L$2)))</f>
        <v>-</v>
      </c>
      <c r="M28" s="2" t="str">
        <f>IF(M$1&gt;$Z$4,"-",IF(COUNTIF($D$3:$D28,M$2)=$Z$3,"Full",SUMIFS($C$3:$C28,$D$3:$D28,M$2)))</f>
        <v>-</v>
      </c>
      <c r="N28" s="2" t="str">
        <f>IF(N$1&gt;$Z$4,"-",IF(COUNTIF($D$3:$D28,N$2)=$Z$3,"Full",SUMIFS($C$3:$C28,$D$3:$D28,N$2)))</f>
        <v>-</v>
      </c>
      <c r="O28" s="2" t="str">
        <f>IF(O$1&gt;$Z$4,"-",IF(COUNTIF($D$3:$D28,O$2)=$Z$3,"Full",SUMIFS($C$3:$C28,$D$3:$D28,O$2)))</f>
        <v>-</v>
      </c>
      <c r="P28" s="2" t="str">
        <f>IF(P$1&gt;$Z$4,"-",IF(COUNTIF($D$3:$D28,P$2)=$Z$3,"Full",SUMIFS($C$3:$C28,$D$3:$D28,P$2)))</f>
        <v>-</v>
      </c>
      <c r="Q28" s="2" t="str">
        <f>IF(Q$1&gt;$Z$4,"-",IF(COUNTIF($D$3:$D28,Q$2)=$Z$3,"Full",SUMIFS($C$3:$C28,$D$3:$D28,Q$2)))</f>
        <v>-</v>
      </c>
      <c r="R28" s="2" t="str">
        <f>IF(R$1&gt;$Z$4,"-",IF(COUNTIF($D$3:$D28,R$2)=$Z$3,"Full",SUMIFS($C$3:$C28,$D$3:$D28,R$2)))</f>
        <v>-</v>
      </c>
      <c r="S28" s="2" t="str">
        <f>IF(S$1&gt;$Z$4,"-",IF(COUNTIF($D$3:$D28,S$2)=$Z$3,"Full",SUMIFS($C$3:$C28,$D$3:$D28,S$2)))</f>
        <v>-</v>
      </c>
      <c r="T28" s="11" t="str">
        <f>IF(T$1&gt;$Z$4,"-",IF(COUNTIF($D$3:$D28,T$2)=$Z$3,"Full",SUMIFS($C$3:$C28,$D$3:$D28,T$2)))</f>
        <v>-</v>
      </c>
      <c r="Y28" s="21"/>
      <c r="Z28" s="32" t="str">
        <f>IF(ISBLANK(Y28),"-",_xlfn.XLOOKUP(Y28,Logic!$B$3:$B$274,Logic!$C$3:$C$274,0))</f>
        <v>-</v>
      </c>
      <c r="AA28" s="21"/>
      <c r="AB28" s="32" t="str">
        <f>IF(ISBLANK(AA28),"-",_xlfn.XLOOKUP(AA28,Logic!$B$3:$B$274,Logic!$C$3:$C$274,0))</f>
        <v>-</v>
      </c>
      <c r="AC28" s="21"/>
      <c r="AD28" s="32" t="str">
        <f>IF(ISBLANK(AC28),"-",_xlfn.XLOOKUP(AC28,Logic!$B$3:$B$274,Logic!$C$3:$C$274,0))</f>
        <v>-</v>
      </c>
      <c r="AE28" s="21"/>
      <c r="AF28" s="32" t="str">
        <f>IF(ISBLANK(AE28),"-",_xlfn.XLOOKUP(AE28,Logic!$B$3:$B$274,Logic!$C$3:$C$274,0))</f>
        <v>-</v>
      </c>
      <c r="AG28" s="21"/>
      <c r="AH28" s="32" t="str">
        <f>IF(ISBLANK(AG28),"-",_xlfn.XLOOKUP(AG28,Logic!$B$3:$B$274,Logic!$C$3:$C$274,0))</f>
        <v>-</v>
      </c>
      <c r="AI28" s="21"/>
      <c r="AJ28" s="32" t="str">
        <f>IF(ISBLANK(AI28),"-",_xlfn.XLOOKUP(AI28,Logic!$B$3:$B$274,Logic!$C$3:$C$274,0))</f>
        <v>-</v>
      </c>
      <c r="AK28" s="21"/>
      <c r="AL28" s="32" t="str">
        <f>IF(ISBLANK(AK28),"-",_xlfn.XLOOKUP(AK28,Logic!$B$3:$B$274,Logic!$C$3:$C$274,0))</f>
        <v>-</v>
      </c>
      <c r="AM28" s="21"/>
      <c r="AN28" s="32" t="str">
        <f>IF(ISBLANK(AM28),"-",_xlfn.XLOOKUP(AM28,Logic!$B$3:$B$274,Logic!$C$3:$C$274,0))</f>
        <v>-</v>
      </c>
      <c r="AO28" s="21"/>
      <c r="AP28" s="32" t="str">
        <f>IF(ISBLANK(AO28),"-",_xlfn.XLOOKUP(AO28,Logic!$B$3:$B$274,Logic!$C$3:$C$274,0))</f>
        <v>-</v>
      </c>
      <c r="AQ28" s="21"/>
      <c r="AR28" s="32" t="str">
        <f>IF(ISBLANK(AQ28),"-",_xlfn.XLOOKUP(AQ28,Logic!$B$3:$B$274,Logic!$C$3:$C$274,0))</f>
        <v>-</v>
      </c>
      <c r="AS28" s="21"/>
      <c r="AT28" s="32" t="str">
        <f>IF(ISBLANK(AS28),"-",_xlfn.XLOOKUP(AS28,Logic!$B$3:$B$274,Logic!$C$3:$C$274,0))</f>
        <v>-</v>
      </c>
      <c r="AU28" s="21"/>
      <c r="AV28" s="32" t="str">
        <f>IF(ISBLANK(AU28),"-",_xlfn.XLOOKUP(AU28,Logic!$B$3:$B$274,Logic!$C$3:$C$274,0))</f>
        <v>-</v>
      </c>
      <c r="AW28" s="21"/>
      <c r="AX28" s="32" t="str">
        <f>IF(ISBLANK(AW28),"-",_xlfn.XLOOKUP(AW28,Logic!$B$3:$B$274,Logic!$C$3:$C$274,0))</f>
        <v>-</v>
      </c>
      <c r="AY28" s="21"/>
      <c r="AZ28" s="32" t="str">
        <f>IF(ISBLANK(AY28),"-",_xlfn.XLOOKUP(AY28,Logic!$B$3:$B$274,Logic!$C$3:$C$274,0))</f>
        <v>-</v>
      </c>
      <c r="BA28" s="21"/>
      <c r="BB28" s="32" t="str">
        <f>IF(ISBLANK(BA28),"-",_xlfn.XLOOKUP(BA28,Logic!$B$3:$B$274,Logic!$C$3:$C$274,0))</f>
        <v>-</v>
      </c>
      <c r="BC28" s="21"/>
      <c r="BD28" s="32" t="str">
        <f>IF(ISBLANK(BC28),"-",_xlfn.XLOOKUP(BC28,Logic!$B$3:$B$274,Logic!$C$3:$C$274,0))</f>
        <v>-</v>
      </c>
    </row>
    <row r="29" spans="1:66" x14ac:dyDescent="0.25">
      <c r="A29" s="10">
        <f t="shared" si="1"/>
        <v>27</v>
      </c>
      <c r="B29" s="2" t="str">
        <v>Switzerland</v>
      </c>
      <c r="C29" s="11">
        <v>2.75</v>
      </c>
      <c r="D29" s="14" t="str" cm="1">
        <f t="array" aca="1" ref="D29" ca="1">IFERROR(_xlfn.XLOOKUP(MIN(E28:INDIRECT($AA$4&amp;A29+1)),E28:INDIRECT($AA$4&amp;A29+1),$E$2:INDIRECT($AA$4&amp;"$2")),"-")</f>
        <v>-</v>
      </c>
      <c r="E29" s="10" t="str">
        <f ca="1">IF(E$1&gt;$Z$4,"-",IF(COUNTIF($D$3:$D29,E$2)=$Z$3,"Full",SUMIFS($C$3:$C29,$D$3:$D29,E$2)))</f>
        <v>Full</v>
      </c>
      <c r="F29" s="2" t="str">
        <f>IF(F$1&gt;$Z$4,"-",IF(COUNTIF($D$3:$D29,F$2)=$Z$3,"Full",SUMIFS($C$3:$C29,$D$3:$D29,F$2)))</f>
        <v>-</v>
      </c>
      <c r="G29" s="2" t="str">
        <f>IF(G$1&gt;$Z$4,"-",IF(COUNTIF($D$3:$D29,G$2)=$Z$3,"Full",SUMIFS($C$3:$C29,$D$3:$D29,G$2)))</f>
        <v>-</v>
      </c>
      <c r="H29" s="2" t="str">
        <f>IF(H$1&gt;$Z$4,"-",IF(COUNTIF($D$3:$D29,H$2)=$Z$3,"Full",SUMIFS($C$3:$C29,$D$3:$D29,H$2)))</f>
        <v>-</v>
      </c>
      <c r="I29" s="2" t="str">
        <f>IF(I$1&gt;$Z$4,"-",IF(COUNTIF($D$3:$D29,I$2)=$Z$3,"Full",SUMIFS($C$3:$C29,$D$3:$D29,I$2)))</f>
        <v>-</v>
      </c>
      <c r="J29" s="2" t="str">
        <f>IF(J$1&gt;$Z$4,"-",IF(COUNTIF($D$3:$D29,J$2)=$Z$3,"Full",SUMIFS($C$3:$C29,$D$3:$D29,J$2)))</f>
        <v>-</v>
      </c>
      <c r="K29" s="2" t="str">
        <f>IF(K$1&gt;$Z$4,"-",IF(COUNTIF($D$3:$D29,K$2)=$Z$3,"Full",SUMIFS($C$3:$C29,$D$3:$D29,K$2)))</f>
        <v>-</v>
      </c>
      <c r="L29" s="2" t="str">
        <f>IF(L$1&gt;$Z$4,"-",IF(COUNTIF($D$3:$D29,L$2)=$Z$3,"Full",SUMIFS($C$3:$C29,$D$3:$D29,L$2)))</f>
        <v>-</v>
      </c>
      <c r="M29" s="2" t="str">
        <f>IF(M$1&gt;$Z$4,"-",IF(COUNTIF($D$3:$D29,M$2)=$Z$3,"Full",SUMIFS($C$3:$C29,$D$3:$D29,M$2)))</f>
        <v>-</v>
      </c>
      <c r="N29" s="2" t="str">
        <f>IF(N$1&gt;$Z$4,"-",IF(COUNTIF($D$3:$D29,N$2)=$Z$3,"Full",SUMIFS($C$3:$C29,$D$3:$D29,N$2)))</f>
        <v>-</v>
      </c>
      <c r="O29" s="2" t="str">
        <f>IF(O$1&gt;$Z$4,"-",IF(COUNTIF($D$3:$D29,O$2)=$Z$3,"Full",SUMIFS($C$3:$C29,$D$3:$D29,O$2)))</f>
        <v>-</v>
      </c>
      <c r="P29" s="2" t="str">
        <f>IF(P$1&gt;$Z$4,"-",IF(COUNTIF($D$3:$D29,P$2)=$Z$3,"Full",SUMIFS($C$3:$C29,$D$3:$D29,P$2)))</f>
        <v>-</v>
      </c>
      <c r="Q29" s="2" t="str">
        <f>IF(Q$1&gt;$Z$4,"-",IF(COUNTIF($D$3:$D29,Q$2)=$Z$3,"Full",SUMIFS($C$3:$C29,$D$3:$D29,Q$2)))</f>
        <v>-</v>
      </c>
      <c r="R29" s="2" t="str">
        <f>IF(R$1&gt;$Z$4,"-",IF(COUNTIF($D$3:$D29,R$2)=$Z$3,"Full",SUMIFS($C$3:$C29,$D$3:$D29,R$2)))</f>
        <v>-</v>
      </c>
      <c r="S29" s="2" t="str">
        <f>IF(S$1&gt;$Z$4,"-",IF(COUNTIF($D$3:$D29,S$2)=$Z$3,"Full",SUMIFS($C$3:$C29,$D$3:$D29,S$2)))</f>
        <v>-</v>
      </c>
      <c r="T29" s="11" t="str">
        <f>IF(T$1&gt;$Z$4,"-",IF(COUNTIF($D$3:$D29,T$2)=$Z$3,"Full",SUMIFS($C$3:$C29,$D$3:$D29,T$2)))</f>
        <v>-</v>
      </c>
      <c r="Y29" s="21"/>
      <c r="Z29" s="32" t="str">
        <f>IF(ISBLANK(Y29),"-",_xlfn.XLOOKUP(Y29,Logic!$B$3:$B$274,Logic!$C$3:$C$274,0))</f>
        <v>-</v>
      </c>
      <c r="AA29" s="21"/>
      <c r="AB29" s="32" t="str">
        <f>IF(ISBLANK(AA29),"-",_xlfn.XLOOKUP(AA29,Logic!$B$3:$B$274,Logic!$C$3:$C$274,0))</f>
        <v>-</v>
      </c>
      <c r="AC29" s="21"/>
      <c r="AD29" s="32" t="str">
        <f>IF(ISBLANK(AC29),"-",_xlfn.XLOOKUP(AC29,Logic!$B$3:$B$274,Logic!$C$3:$C$274,0))</f>
        <v>-</v>
      </c>
      <c r="AE29" s="21"/>
      <c r="AF29" s="32" t="str">
        <f>IF(ISBLANK(AE29),"-",_xlfn.XLOOKUP(AE29,Logic!$B$3:$B$274,Logic!$C$3:$C$274,0))</f>
        <v>-</v>
      </c>
      <c r="AG29" s="21"/>
      <c r="AH29" s="32" t="str">
        <f>IF(ISBLANK(AG29),"-",_xlfn.XLOOKUP(AG29,Logic!$B$3:$B$274,Logic!$C$3:$C$274,0))</f>
        <v>-</v>
      </c>
      <c r="AI29" s="21"/>
      <c r="AJ29" s="32" t="str">
        <f>IF(ISBLANK(AI29),"-",_xlfn.XLOOKUP(AI29,Logic!$B$3:$B$274,Logic!$C$3:$C$274,0))</f>
        <v>-</v>
      </c>
      <c r="AK29" s="21"/>
      <c r="AL29" s="32" t="str">
        <f>IF(ISBLANK(AK29),"-",_xlfn.XLOOKUP(AK29,Logic!$B$3:$B$274,Logic!$C$3:$C$274,0))</f>
        <v>-</v>
      </c>
      <c r="AM29" s="21"/>
      <c r="AN29" s="32" t="str">
        <f>IF(ISBLANK(AM29),"-",_xlfn.XLOOKUP(AM29,Logic!$B$3:$B$274,Logic!$C$3:$C$274,0))</f>
        <v>-</v>
      </c>
      <c r="AO29" s="21"/>
      <c r="AP29" s="32" t="str">
        <f>IF(ISBLANK(AO29),"-",_xlfn.XLOOKUP(AO29,Logic!$B$3:$B$274,Logic!$C$3:$C$274,0))</f>
        <v>-</v>
      </c>
      <c r="AQ29" s="21"/>
      <c r="AR29" s="32" t="str">
        <f>IF(ISBLANK(AQ29),"-",_xlfn.XLOOKUP(AQ29,Logic!$B$3:$B$274,Logic!$C$3:$C$274,0))</f>
        <v>-</v>
      </c>
      <c r="AS29" s="21"/>
      <c r="AT29" s="32" t="str">
        <f>IF(ISBLANK(AS29),"-",_xlfn.XLOOKUP(AS29,Logic!$B$3:$B$274,Logic!$C$3:$C$274,0))</f>
        <v>-</v>
      </c>
      <c r="AU29" s="21"/>
      <c r="AV29" s="32" t="str">
        <f>IF(ISBLANK(AU29),"-",_xlfn.XLOOKUP(AU29,Logic!$B$3:$B$274,Logic!$C$3:$C$274,0))</f>
        <v>-</v>
      </c>
      <c r="AW29" s="21"/>
      <c r="AX29" s="32" t="str">
        <f>IF(ISBLANK(AW29),"-",_xlfn.XLOOKUP(AW29,Logic!$B$3:$B$274,Logic!$C$3:$C$274,0))</f>
        <v>-</v>
      </c>
      <c r="AY29" s="21"/>
      <c r="AZ29" s="32" t="str">
        <f>IF(ISBLANK(AY29),"-",_xlfn.XLOOKUP(AY29,Logic!$B$3:$B$274,Logic!$C$3:$C$274,0))</f>
        <v>-</v>
      </c>
      <c r="BA29" s="21"/>
      <c r="BB29" s="32" t="str">
        <f>IF(ISBLANK(BA29),"-",_xlfn.XLOOKUP(BA29,Logic!$B$3:$B$274,Logic!$C$3:$C$274,0))</f>
        <v>-</v>
      </c>
      <c r="BC29" s="21"/>
      <c r="BD29" s="32" t="str">
        <f>IF(ISBLANK(BC29),"-",_xlfn.XLOOKUP(BC29,Logic!$B$3:$B$274,Logic!$C$3:$C$274,0))</f>
        <v>-</v>
      </c>
    </row>
    <row r="30" spans="1:66" x14ac:dyDescent="0.25">
      <c r="A30" s="10">
        <f t="shared" si="1"/>
        <v>28</v>
      </c>
      <c r="B30" s="2" t="str">
        <v>Norway</v>
      </c>
      <c r="C30" s="11">
        <v>2.58</v>
      </c>
      <c r="D30" s="14" t="str" cm="1">
        <f t="array" aca="1" ref="D30" ca="1">IFERROR(_xlfn.XLOOKUP(MIN(E29:INDIRECT($AA$4&amp;A30+1)),E29:INDIRECT($AA$4&amp;A30+1),$E$2:INDIRECT($AA$4&amp;"$2")),"-")</f>
        <v>-</v>
      </c>
      <c r="E30" s="10" t="str">
        <f ca="1">IF(E$1&gt;$Z$4,"-",IF(COUNTIF($D$3:$D30,E$2)=$Z$3,"Full",SUMIFS($C$3:$C30,$D$3:$D30,E$2)))</f>
        <v>Full</v>
      </c>
      <c r="F30" s="2" t="str">
        <f>IF(F$1&gt;$Z$4,"-",IF(COUNTIF($D$3:$D30,F$2)=$Z$3,"Full",SUMIFS($C$3:$C30,$D$3:$D30,F$2)))</f>
        <v>-</v>
      </c>
      <c r="G30" s="2" t="str">
        <f>IF(G$1&gt;$Z$4,"-",IF(COUNTIF($D$3:$D30,G$2)=$Z$3,"Full",SUMIFS($C$3:$C30,$D$3:$D30,G$2)))</f>
        <v>-</v>
      </c>
      <c r="H30" s="2" t="str">
        <f>IF(H$1&gt;$Z$4,"-",IF(COUNTIF($D$3:$D30,H$2)=$Z$3,"Full",SUMIFS($C$3:$C30,$D$3:$D30,H$2)))</f>
        <v>-</v>
      </c>
      <c r="I30" s="2" t="str">
        <f>IF(I$1&gt;$Z$4,"-",IF(COUNTIF($D$3:$D30,I$2)=$Z$3,"Full",SUMIFS($C$3:$C30,$D$3:$D30,I$2)))</f>
        <v>-</v>
      </c>
      <c r="J30" s="2" t="str">
        <f>IF(J$1&gt;$Z$4,"-",IF(COUNTIF($D$3:$D30,J$2)=$Z$3,"Full",SUMIFS($C$3:$C30,$D$3:$D30,J$2)))</f>
        <v>-</v>
      </c>
      <c r="K30" s="2" t="str">
        <f>IF(K$1&gt;$Z$4,"-",IF(COUNTIF($D$3:$D30,K$2)=$Z$3,"Full",SUMIFS($C$3:$C30,$D$3:$D30,K$2)))</f>
        <v>-</v>
      </c>
      <c r="L30" s="2" t="str">
        <f>IF(L$1&gt;$Z$4,"-",IF(COUNTIF($D$3:$D30,L$2)=$Z$3,"Full",SUMIFS($C$3:$C30,$D$3:$D30,L$2)))</f>
        <v>-</v>
      </c>
      <c r="M30" s="2" t="str">
        <f>IF(M$1&gt;$Z$4,"-",IF(COUNTIF($D$3:$D30,M$2)=$Z$3,"Full",SUMIFS($C$3:$C30,$D$3:$D30,M$2)))</f>
        <v>-</v>
      </c>
      <c r="N30" s="2" t="str">
        <f>IF(N$1&gt;$Z$4,"-",IF(COUNTIF($D$3:$D30,N$2)=$Z$3,"Full",SUMIFS($C$3:$C30,$D$3:$D30,N$2)))</f>
        <v>-</v>
      </c>
      <c r="O30" s="2" t="str">
        <f>IF(O$1&gt;$Z$4,"-",IF(COUNTIF($D$3:$D30,O$2)=$Z$3,"Full",SUMIFS($C$3:$C30,$D$3:$D30,O$2)))</f>
        <v>-</v>
      </c>
      <c r="P30" s="2" t="str">
        <f>IF(P$1&gt;$Z$4,"-",IF(COUNTIF($D$3:$D30,P$2)=$Z$3,"Full",SUMIFS($C$3:$C30,$D$3:$D30,P$2)))</f>
        <v>-</v>
      </c>
      <c r="Q30" s="2" t="str">
        <f>IF(Q$1&gt;$Z$4,"-",IF(COUNTIF($D$3:$D30,Q$2)=$Z$3,"Full",SUMIFS($C$3:$C30,$D$3:$D30,Q$2)))</f>
        <v>-</v>
      </c>
      <c r="R30" s="2" t="str">
        <f>IF(R$1&gt;$Z$4,"-",IF(COUNTIF($D$3:$D30,R$2)=$Z$3,"Full",SUMIFS($C$3:$C30,$D$3:$D30,R$2)))</f>
        <v>-</v>
      </c>
      <c r="S30" s="2" t="str">
        <f>IF(S$1&gt;$Z$4,"-",IF(COUNTIF($D$3:$D30,S$2)=$Z$3,"Full",SUMIFS($C$3:$C30,$D$3:$D30,S$2)))</f>
        <v>-</v>
      </c>
      <c r="T30" s="11" t="str">
        <f>IF(T$1&gt;$Z$4,"-",IF(COUNTIF($D$3:$D30,T$2)=$Z$3,"Full",SUMIFS($C$3:$C30,$D$3:$D30,T$2)))</f>
        <v>-</v>
      </c>
      <c r="Y30" s="21"/>
      <c r="Z30" s="32" t="str">
        <f>IF(ISBLANK(Y30),"-",_xlfn.XLOOKUP(Y30,Logic!$B$3:$B$274,Logic!$C$3:$C$274,0))</f>
        <v>-</v>
      </c>
      <c r="AA30" s="21"/>
      <c r="AB30" s="32" t="str">
        <f>IF(ISBLANK(AA30),"-",_xlfn.XLOOKUP(AA30,Logic!$B$3:$B$274,Logic!$C$3:$C$274,0))</f>
        <v>-</v>
      </c>
      <c r="AC30" s="21"/>
      <c r="AD30" s="32" t="str">
        <f>IF(ISBLANK(AC30),"-",_xlfn.XLOOKUP(AC30,Logic!$B$3:$B$274,Logic!$C$3:$C$274,0))</f>
        <v>-</v>
      </c>
      <c r="AE30" s="21"/>
      <c r="AF30" s="32" t="str">
        <f>IF(ISBLANK(AE30),"-",_xlfn.XLOOKUP(AE30,Logic!$B$3:$B$274,Logic!$C$3:$C$274,0))</f>
        <v>-</v>
      </c>
      <c r="AG30" s="21"/>
      <c r="AH30" s="32" t="str">
        <f>IF(ISBLANK(AG30),"-",_xlfn.XLOOKUP(AG30,Logic!$B$3:$B$274,Logic!$C$3:$C$274,0))</f>
        <v>-</v>
      </c>
      <c r="AI30" s="21"/>
      <c r="AJ30" s="32" t="str">
        <f>IF(ISBLANK(AI30),"-",_xlfn.XLOOKUP(AI30,Logic!$B$3:$B$274,Logic!$C$3:$C$274,0))</f>
        <v>-</v>
      </c>
      <c r="AK30" s="21"/>
      <c r="AL30" s="32" t="str">
        <f>IF(ISBLANK(AK30),"-",_xlfn.XLOOKUP(AK30,Logic!$B$3:$B$274,Logic!$C$3:$C$274,0))</f>
        <v>-</v>
      </c>
      <c r="AM30" s="21"/>
      <c r="AN30" s="32" t="str">
        <f>IF(ISBLANK(AM30),"-",_xlfn.XLOOKUP(AM30,Logic!$B$3:$B$274,Logic!$C$3:$C$274,0))</f>
        <v>-</v>
      </c>
      <c r="AO30" s="21"/>
      <c r="AP30" s="32" t="str">
        <f>IF(ISBLANK(AO30),"-",_xlfn.XLOOKUP(AO30,Logic!$B$3:$B$274,Logic!$C$3:$C$274,0))</f>
        <v>-</v>
      </c>
      <c r="AQ30" s="21"/>
      <c r="AR30" s="32" t="str">
        <f>IF(ISBLANK(AQ30),"-",_xlfn.XLOOKUP(AQ30,Logic!$B$3:$B$274,Logic!$C$3:$C$274,0))</f>
        <v>-</v>
      </c>
      <c r="AS30" s="21"/>
      <c r="AT30" s="32" t="str">
        <f>IF(ISBLANK(AS30),"-",_xlfn.XLOOKUP(AS30,Logic!$B$3:$B$274,Logic!$C$3:$C$274,0))</f>
        <v>-</v>
      </c>
      <c r="AU30" s="21"/>
      <c r="AV30" s="32" t="str">
        <f>IF(ISBLANK(AU30),"-",_xlfn.XLOOKUP(AU30,Logic!$B$3:$B$274,Logic!$C$3:$C$274,0))</f>
        <v>-</v>
      </c>
      <c r="AW30" s="21"/>
      <c r="AX30" s="32" t="str">
        <f>IF(ISBLANK(AW30),"-",_xlfn.XLOOKUP(AW30,Logic!$B$3:$B$274,Logic!$C$3:$C$274,0))</f>
        <v>-</v>
      </c>
      <c r="AY30" s="21"/>
      <c r="AZ30" s="32" t="str">
        <f>IF(ISBLANK(AY30),"-",_xlfn.XLOOKUP(AY30,Logic!$B$3:$B$274,Logic!$C$3:$C$274,0))</f>
        <v>-</v>
      </c>
      <c r="BA30" s="21"/>
      <c r="BB30" s="32" t="str">
        <f>IF(ISBLANK(BA30),"-",_xlfn.XLOOKUP(BA30,Logic!$B$3:$B$274,Logic!$C$3:$C$274,0))</f>
        <v>-</v>
      </c>
      <c r="BC30" s="21"/>
      <c r="BD30" s="32" t="str">
        <f>IF(ISBLANK(BC30),"-",_xlfn.XLOOKUP(BC30,Logic!$B$3:$B$274,Logic!$C$3:$C$274,0))</f>
        <v>-</v>
      </c>
    </row>
    <row r="31" spans="1:66" x14ac:dyDescent="0.25">
      <c r="A31" s="10">
        <f t="shared" si="1"/>
        <v>29</v>
      </c>
      <c r="B31" s="2" t="str">
        <v>Ukraine</v>
      </c>
      <c r="C31" s="11">
        <v>2.0099999999999998</v>
      </c>
      <c r="D31" s="14" t="str" cm="1">
        <f t="array" aca="1" ref="D31" ca="1">IFERROR(_xlfn.XLOOKUP(MIN(E30:INDIRECT($AA$4&amp;A31+1)),E30:INDIRECT($AA$4&amp;A31+1),$E$2:INDIRECT($AA$4&amp;"$2")),"-")</f>
        <v>-</v>
      </c>
      <c r="E31" s="10" t="str">
        <f ca="1">IF(E$1&gt;$Z$4,"-",IF(COUNTIF($D$3:$D31,E$2)=$Z$3,"Full",SUMIFS($C$3:$C31,$D$3:$D31,E$2)))</f>
        <v>Full</v>
      </c>
      <c r="F31" s="2" t="str">
        <f>IF(F$1&gt;$Z$4,"-",IF(COUNTIF($D$3:$D31,F$2)=$Z$3,"Full",SUMIFS($C$3:$C31,$D$3:$D31,F$2)))</f>
        <v>-</v>
      </c>
      <c r="G31" s="2" t="str">
        <f>IF(G$1&gt;$Z$4,"-",IF(COUNTIF($D$3:$D31,G$2)=$Z$3,"Full",SUMIFS($C$3:$C31,$D$3:$D31,G$2)))</f>
        <v>-</v>
      </c>
      <c r="H31" s="2" t="str">
        <f>IF(H$1&gt;$Z$4,"-",IF(COUNTIF($D$3:$D31,H$2)=$Z$3,"Full",SUMIFS($C$3:$C31,$D$3:$D31,H$2)))</f>
        <v>-</v>
      </c>
      <c r="I31" s="2" t="str">
        <f>IF(I$1&gt;$Z$4,"-",IF(COUNTIF($D$3:$D31,I$2)=$Z$3,"Full",SUMIFS($C$3:$C31,$D$3:$D31,I$2)))</f>
        <v>-</v>
      </c>
      <c r="J31" s="2" t="str">
        <f>IF(J$1&gt;$Z$4,"-",IF(COUNTIF($D$3:$D31,J$2)=$Z$3,"Full",SUMIFS($C$3:$C31,$D$3:$D31,J$2)))</f>
        <v>-</v>
      </c>
      <c r="K31" s="2" t="str">
        <f>IF(K$1&gt;$Z$4,"-",IF(COUNTIF($D$3:$D31,K$2)=$Z$3,"Full",SUMIFS($C$3:$C31,$D$3:$D31,K$2)))</f>
        <v>-</v>
      </c>
      <c r="L31" s="2" t="str">
        <f>IF(L$1&gt;$Z$4,"-",IF(COUNTIF($D$3:$D31,L$2)=$Z$3,"Full",SUMIFS($C$3:$C31,$D$3:$D31,L$2)))</f>
        <v>-</v>
      </c>
      <c r="M31" s="2" t="str">
        <f>IF(M$1&gt;$Z$4,"-",IF(COUNTIF($D$3:$D31,M$2)=$Z$3,"Full",SUMIFS($C$3:$C31,$D$3:$D31,M$2)))</f>
        <v>-</v>
      </c>
      <c r="N31" s="2" t="str">
        <f>IF(N$1&gt;$Z$4,"-",IF(COUNTIF($D$3:$D31,N$2)=$Z$3,"Full",SUMIFS($C$3:$C31,$D$3:$D31,N$2)))</f>
        <v>-</v>
      </c>
      <c r="O31" s="2" t="str">
        <f>IF(O$1&gt;$Z$4,"-",IF(COUNTIF($D$3:$D31,O$2)=$Z$3,"Full",SUMIFS($C$3:$C31,$D$3:$D31,O$2)))</f>
        <v>-</v>
      </c>
      <c r="P31" s="2" t="str">
        <f>IF(P$1&gt;$Z$4,"-",IF(COUNTIF($D$3:$D31,P$2)=$Z$3,"Full",SUMIFS($C$3:$C31,$D$3:$D31,P$2)))</f>
        <v>-</v>
      </c>
      <c r="Q31" s="2" t="str">
        <f>IF(Q$1&gt;$Z$4,"-",IF(COUNTIF($D$3:$D31,Q$2)=$Z$3,"Full",SUMIFS($C$3:$C31,$D$3:$D31,Q$2)))</f>
        <v>-</v>
      </c>
      <c r="R31" s="2" t="str">
        <f>IF(R$1&gt;$Z$4,"-",IF(COUNTIF($D$3:$D31,R$2)=$Z$3,"Full",SUMIFS($C$3:$C31,$D$3:$D31,R$2)))</f>
        <v>-</v>
      </c>
      <c r="S31" s="2" t="str">
        <f>IF(S$1&gt;$Z$4,"-",IF(COUNTIF($D$3:$D31,S$2)=$Z$3,"Full",SUMIFS($C$3:$C31,$D$3:$D31,S$2)))</f>
        <v>-</v>
      </c>
      <c r="T31" s="11" t="str">
        <f>IF(T$1&gt;$Z$4,"-",IF(COUNTIF($D$3:$D31,T$2)=$Z$3,"Full",SUMIFS($C$3:$C31,$D$3:$D31,T$2)))</f>
        <v>-</v>
      </c>
      <c r="Y31" s="21"/>
      <c r="Z31" s="32" t="str">
        <f>IF(ISBLANK(Y31),"-",_xlfn.XLOOKUP(Y31,Logic!$B$3:$B$274,Logic!$C$3:$C$274,0))</f>
        <v>-</v>
      </c>
      <c r="AA31" s="21"/>
      <c r="AB31" s="32" t="str">
        <f>IF(ISBLANK(AA31),"-",_xlfn.XLOOKUP(AA31,Logic!$B$3:$B$274,Logic!$C$3:$C$274,0))</f>
        <v>-</v>
      </c>
      <c r="AC31" s="21"/>
      <c r="AD31" s="32" t="str">
        <f>IF(ISBLANK(AC31),"-",_xlfn.XLOOKUP(AC31,Logic!$B$3:$B$274,Logic!$C$3:$C$274,0))</f>
        <v>-</v>
      </c>
      <c r="AE31" s="21"/>
      <c r="AF31" s="32" t="str">
        <f>IF(ISBLANK(AE31),"-",_xlfn.XLOOKUP(AE31,Logic!$B$3:$B$274,Logic!$C$3:$C$274,0))</f>
        <v>-</v>
      </c>
      <c r="AG31" s="21"/>
      <c r="AH31" s="32" t="str">
        <f>IF(ISBLANK(AG31),"-",_xlfn.XLOOKUP(AG31,Logic!$B$3:$B$274,Logic!$C$3:$C$274,0))</f>
        <v>-</v>
      </c>
      <c r="AI31" s="21"/>
      <c r="AJ31" s="32" t="str">
        <f>IF(ISBLANK(AI31),"-",_xlfn.XLOOKUP(AI31,Logic!$B$3:$B$274,Logic!$C$3:$C$274,0))</f>
        <v>-</v>
      </c>
      <c r="AK31" s="21"/>
      <c r="AL31" s="32" t="str">
        <f>IF(ISBLANK(AK31),"-",_xlfn.XLOOKUP(AK31,Logic!$B$3:$B$274,Logic!$C$3:$C$274,0))</f>
        <v>-</v>
      </c>
      <c r="AM31" s="21"/>
      <c r="AN31" s="32" t="str">
        <f>IF(ISBLANK(AM31),"-",_xlfn.XLOOKUP(AM31,Logic!$B$3:$B$274,Logic!$C$3:$C$274,0))</f>
        <v>-</v>
      </c>
      <c r="AO31" s="21"/>
      <c r="AP31" s="32" t="str">
        <f>IF(ISBLANK(AO31),"-",_xlfn.XLOOKUP(AO31,Logic!$B$3:$B$274,Logic!$C$3:$C$274,0))</f>
        <v>-</v>
      </c>
      <c r="AQ31" s="21"/>
      <c r="AR31" s="32" t="str">
        <f>IF(ISBLANK(AQ31),"-",_xlfn.XLOOKUP(AQ31,Logic!$B$3:$B$274,Logic!$C$3:$C$274,0))</f>
        <v>-</v>
      </c>
      <c r="AS31" s="21"/>
      <c r="AT31" s="32" t="str">
        <f>IF(ISBLANK(AS31),"-",_xlfn.XLOOKUP(AS31,Logic!$B$3:$B$274,Logic!$C$3:$C$274,0))</f>
        <v>-</v>
      </c>
      <c r="AU31" s="21"/>
      <c r="AV31" s="32" t="str">
        <f>IF(ISBLANK(AU31),"-",_xlfn.XLOOKUP(AU31,Logic!$B$3:$B$274,Logic!$C$3:$C$274,0))</f>
        <v>-</v>
      </c>
      <c r="AW31" s="21"/>
      <c r="AX31" s="32" t="str">
        <f>IF(ISBLANK(AW31),"-",_xlfn.XLOOKUP(AW31,Logic!$B$3:$B$274,Logic!$C$3:$C$274,0))</f>
        <v>-</v>
      </c>
      <c r="AY31" s="21"/>
      <c r="AZ31" s="32" t="str">
        <f>IF(ISBLANK(AY31),"-",_xlfn.XLOOKUP(AY31,Logic!$B$3:$B$274,Logic!$C$3:$C$274,0))</f>
        <v>-</v>
      </c>
      <c r="BA31" s="21"/>
      <c r="BB31" s="32" t="str">
        <f>IF(ISBLANK(BA31),"-",_xlfn.XLOOKUP(BA31,Logic!$B$3:$B$274,Logic!$C$3:$C$274,0))</f>
        <v>-</v>
      </c>
      <c r="BC31" s="21"/>
      <c r="BD31" s="32" t="str">
        <f>IF(ISBLANK(BC31),"-",_xlfn.XLOOKUP(BC31,Logic!$B$3:$B$274,Logic!$C$3:$C$274,0))</f>
        <v>-</v>
      </c>
    </row>
    <row r="32" spans="1:66" x14ac:dyDescent="0.25">
      <c r="A32" s="10">
        <f t="shared" si="1"/>
        <v>30</v>
      </c>
      <c r="B32" s="2" t="str">
        <v>Slovenia</v>
      </c>
      <c r="C32" s="11">
        <v>2</v>
      </c>
      <c r="D32" s="14" t="str" cm="1">
        <f t="array" aca="1" ref="D32" ca="1">IFERROR(_xlfn.XLOOKUP(MIN(E31:INDIRECT($AA$4&amp;A32+1)),E31:INDIRECT($AA$4&amp;A32+1),$E$2:INDIRECT($AA$4&amp;"$2")),"-")</f>
        <v>-</v>
      </c>
      <c r="E32" s="10" t="str">
        <f ca="1">IF(E$1&gt;$Z$4,"-",IF(COUNTIF($D$3:$D32,E$2)=$Z$3,"Full",SUMIFS($C$3:$C32,$D$3:$D32,E$2)))</f>
        <v>Full</v>
      </c>
      <c r="F32" s="2" t="str">
        <f>IF(F$1&gt;$Z$4,"-",IF(COUNTIF($D$3:$D32,F$2)=$Z$3,"Full",SUMIFS($C$3:$C32,$D$3:$D32,F$2)))</f>
        <v>-</v>
      </c>
      <c r="G32" s="2" t="str">
        <f>IF(G$1&gt;$Z$4,"-",IF(COUNTIF($D$3:$D32,G$2)=$Z$3,"Full",SUMIFS($C$3:$C32,$D$3:$D32,G$2)))</f>
        <v>-</v>
      </c>
      <c r="H32" s="2" t="str">
        <f>IF(H$1&gt;$Z$4,"-",IF(COUNTIF($D$3:$D32,H$2)=$Z$3,"Full",SUMIFS($C$3:$C32,$D$3:$D32,H$2)))</f>
        <v>-</v>
      </c>
      <c r="I32" s="2" t="str">
        <f>IF(I$1&gt;$Z$4,"-",IF(COUNTIF($D$3:$D32,I$2)=$Z$3,"Full",SUMIFS($C$3:$C32,$D$3:$D32,I$2)))</f>
        <v>-</v>
      </c>
      <c r="J32" s="2" t="str">
        <f>IF(J$1&gt;$Z$4,"-",IF(COUNTIF($D$3:$D32,J$2)=$Z$3,"Full",SUMIFS($C$3:$C32,$D$3:$D32,J$2)))</f>
        <v>-</v>
      </c>
      <c r="K32" s="2" t="str">
        <f>IF(K$1&gt;$Z$4,"-",IF(COUNTIF($D$3:$D32,K$2)=$Z$3,"Full",SUMIFS($C$3:$C32,$D$3:$D32,K$2)))</f>
        <v>-</v>
      </c>
      <c r="L32" s="2" t="str">
        <f>IF(L$1&gt;$Z$4,"-",IF(COUNTIF($D$3:$D32,L$2)=$Z$3,"Full",SUMIFS($C$3:$C32,$D$3:$D32,L$2)))</f>
        <v>-</v>
      </c>
      <c r="M32" s="2" t="str">
        <f>IF(M$1&gt;$Z$4,"-",IF(COUNTIF($D$3:$D32,M$2)=$Z$3,"Full",SUMIFS($C$3:$C32,$D$3:$D32,M$2)))</f>
        <v>-</v>
      </c>
      <c r="N32" s="2" t="str">
        <f>IF(N$1&gt;$Z$4,"-",IF(COUNTIF($D$3:$D32,N$2)=$Z$3,"Full",SUMIFS($C$3:$C32,$D$3:$D32,N$2)))</f>
        <v>-</v>
      </c>
      <c r="O32" s="2" t="str">
        <f>IF(O$1&gt;$Z$4,"-",IF(COUNTIF($D$3:$D32,O$2)=$Z$3,"Full",SUMIFS($C$3:$C32,$D$3:$D32,O$2)))</f>
        <v>-</v>
      </c>
      <c r="P32" s="2" t="str">
        <f>IF(P$1&gt;$Z$4,"-",IF(COUNTIF($D$3:$D32,P$2)=$Z$3,"Full",SUMIFS($C$3:$C32,$D$3:$D32,P$2)))</f>
        <v>-</v>
      </c>
      <c r="Q32" s="2" t="str">
        <f>IF(Q$1&gt;$Z$4,"-",IF(COUNTIF($D$3:$D32,Q$2)=$Z$3,"Full",SUMIFS($C$3:$C32,$D$3:$D32,Q$2)))</f>
        <v>-</v>
      </c>
      <c r="R32" s="2" t="str">
        <f>IF(R$1&gt;$Z$4,"-",IF(COUNTIF($D$3:$D32,R$2)=$Z$3,"Full",SUMIFS($C$3:$C32,$D$3:$D32,R$2)))</f>
        <v>-</v>
      </c>
      <c r="S32" s="2" t="str">
        <f>IF(S$1&gt;$Z$4,"-",IF(COUNTIF($D$3:$D32,S$2)=$Z$3,"Full",SUMIFS($C$3:$C32,$D$3:$D32,S$2)))</f>
        <v>-</v>
      </c>
      <c r="T32" s="11" t="str">
        <f>IF(T$1&gt;$Z$4,"-",IF(COUNTIF($D$3:$D32,T$2)=$Z$3,"Full",SUMIFS($C$3:$C32,$D$3:$D32,T$2)))</f>
        <v>-</v>
      </c>
      <c r="Y32" s="21"/>
      <c r="Z32" s="32" t="str">
        <f>IF(ISBLANK(Y32),"-",_xlfn.XLOOKUP(Y32,Logic!$B$3:$B$274,Logic!$C$3:$C$274,0))</f>
        <v>-</v>
      </c>
      <c r="AA32" s="21"/>
      <c r="AB32" s="32" t="str">
        <f>IF(ISBLANK(AA32),"-",_xlfn.XLOOKUP(AA32,Logic!$B$3:$B$274,Logic!$C$3:$C$274,0))</f>
        <v>-</v>
      </c>
      <c r="AC32" s="21"/>
      <c r="AD32" s="32" t="str">
        <f>IF(ISBLANK(AC32),"-",_xlfn.XLOOKUP(AC32,Logic!$B$3:$B$274,Logic!$C$3:$C$274,0))</f>
        <v>-</v>
      </c>
      <c r="AE32" s="21"/>
      <c r="AF32" s="32" t="str">
        <f>IF(ISBLANK(AE32),"-",_xlfn.XLOOKUP(AE32,Logic!$B$3:$B$274,Logic!$C$3:$C$274,0))</f>
        <v>-</v>
      </c>
      <c r="AG32" s="21"/>
      <c r="AH32" s="32" t="str">
        <f>IF(ISBLANK(AG32),"-",_xlfn.XLOOKUP(AG32,Logic!$B$3:$B$274,Logic!$C$3:$C$274,0))</f>
        <v>-</v>
      </c>
      <c r="AI32" s="21"/>
      <c r="AJ32" s="32" t="str">
        <f>IF(ISBLANK(AI32),"-",_xlfn.XLOOKUP(AI32,Logic!$B$3:$B$274,Logic!$C$3:$C$274,0))</f>
        <v>-</v>
      </c>
      <c r="AK32" s="21"/>
      <c r="AL32" s="32" t="str">
        <f>IF(ISBLANK(AK32),"-",_xlfn.XLOOKUP(AK32,Logic!$B$3:$B$274,Logic!$C$3:$C$274,0))</f>
        <v>-</v>
      </c>
      <c r="AM32" s="21"/>
      <c r="AN32" s="32" t="str">
        <f>IF(ISBLANK(AM32),"-",_xlfn.XLOOKUP(AM32,Logic!$B$3:$B$274,Logic!$C$3:$C$274,0))</f>
        <v>-</v>
      </c>
      <c r="AO32" s="21"/>
      <c r="AP32" s="32" t="str">
        <f>IF(ISBLANK(AO32),"-",_xlfn.XLOOKUP(AO32,Logic!$B$3:$B$274,Logic!$C$3:$C$274,0))</f>
        <v>-</v>
      </c>
      <c r="AQ32" s="21"/>
      <c r="AR32" s="32" t="str">
        <f>IF(ISBLANK(AQ32),"-",_xlfn.XLOOKUP(AQ32,Logic!$B$3:$B$274,Logic!$C$3:$C$274,0))</f>
        <v>-</v>
      </c>
      <c r="AS32" s="21"/>
      <c r="AT32" s="32" t="str">
        <f>IF(ISBLANK(AS32),"-",_xlfn.XLOOKUP(AS32,Logic!$B$3:$B$274,Logic!$C$3:$C$274,0))</f>
        <v>-</v>
      </c>
      <c r="AU32" s="21"/>
      <c r="AV32" s="32" t="str">
        <f>IF(ISBLANK(AU32),"-",_xlfn.XLOOKUP(AU32,Logic!$B$3:$B$274,Logic!$C$3:$C$274,0))</f>
        <v>-</v>
      </c>
      <c r="AW32" s="21"/>
      <c r="AX32" s="32" t="str">
        <f>IF(ISBLANK(AW32),"-",_xlfn.XLOOKUP(AW32,Logic!$B$3:$B$274,Logic!$C$3:$C$274,0))</f>
        <v>-</v>
      </c>
      <c r="AY32" s="21"/>
      <c r="AZ32" s="32" t="str">
        <f>IF(ISBLANK(AY32),"-",_xlfn.XLOOKUP(AY32,Logic!$B$3:$B$274,Logic!$C$3:$C$274,0))</f>
        <v>-</v>
      </c>
      <c r="BA32" s="21"/>
      <c r="BB32" s="32" t="str">
        <f>IF(ISBLANK(BA32),"-",_xlfn.XLOOKUP(BA32,Logic!$B$3:$B$274,Logic!$C$3:$C$274,0))</f>
        <v>-</v>
      </c>
      <c r="BC32" s="21"/>
      <c r="BD32" s="32" t="str">
        <f>IF(ISBLANK(BC32),"-",_xlfn.XLOOKUP(BC32,Logic!$B$3:$B$274,Logic!$C$3:$C$274,0))</f>
        <v>-</v>
      </c>
    </row>
    <row r="33" spans="1:56" ht="15.75" thickBot="1" x14ac:dyDescent="0.3">
      <c r="A33" s="10">
        <f t="shared" si="1"/>
        <v>31</v>
      </c>
      <c r="B33" s="2" t="str">
        <v>Ethiopia</v>
      </c>
      <c r="C33" s="11">
        <v>1.99</v>
      </c>
      <c r="D33" s="14" t="str" cm="1">
        <f t="array" aca="1" ref="D33" ca="1">IFERROR(_xlfn.XLOOKUP(MIN(E32:INDIRECT($AA$4&amp;A33+1)),E32:INDIRECT($AA$4&amp;A33+1),$E$2:INDIRECT($AA$4&amp;"$2")),"-")</f>
        <v>-</v>
      </c>
      <c r="E33" s="10" t="str">
        <f ca="1">IF(E$1&gt;$Z$4,"-",IF(COUNTIF($D$3:$D33,E$2)=$Z$3,"Full",SUMIFS($C$3:$C33,$D$3:$D33,E$2)))</f>
        <v>Full</v>
      </c>
      <c r="F33" s="2" t="str">
        <f>IF(F$1&gt;$Z$4,"-",IF(COUNTIF($D$3:$D33,F$2)=$Z$3,"Full",SUMIFS($C$3:$C33,$D$3:$D33,F$2)))</f>
        <v>-</v>
      </c>
      <c r="G33" s="2" t="str">
        <f>IF(G$1&gt;$Z$4,"-",IF(COUNTIF($D$3:$D33,G$2)=$Z$3,"Full",SUMIFS($C$3:$C33,$D$3:$D33,G$2)))</f>
        <v>-</v>
      </c>
      <c r="H33" s="2" t="str">
        <f>IF(H$1&gt;$Z$4,"-",IF(COUNTIF($D$3:$D33,H$2)=$Z$3,"Full",SUMIFS($C$3:$C33,$D$3:$D33,H$2)))</f>
        <v>-</v>
      </c>
      <c r="I33" s="2" t="str">
        <f>IF(I$1&gt;$Z$4,"-",IF(COUNTIF($D$3:$D33,I$2)=$Z$3,"Full",SUMIFS($C$3:$C33,$D$3:$D33,I$2)))</f>
        <v>-</v>
      </c>
      <c r="J33" s="2" t="str">
        <f>IF(J$1&gt;$Z$4,"-",IF(COUNTIF($D$3:$D33,J$2)=$Z$3,"Full",SUMIFS($C$3:$C33,$D$3:$D33,J$2)))</f>
        <v>-</v>
      </c>
      <c r="K33" s="2" t="str">
        <f>IF(K$1&gt;$Z$4,"-",IF(COUNTIF($D$3:$D33,K$2)=$Z$3,"Full",SUMIFS($C$3:$C33,$D$3:$D33,K$2)))</f>
        <v>-</v>
      </c>
      <c r="L33" s="2" t="str">
        <f>IF(L$1&gt;$Z$4,"-",IF(COUNTIF($D$3:$D33,L$2)=$Z$3,"Full",SUMIFS($C$3:$C33,$D$3:$D33,L$2)))</f>
        <v>-</v>
      </c>
      <c r="M33" s="2" t="str">
        <f>IF(M$1&gt;$Z$4,"-",IF(COUNTIF($D$3:$D33,M$2)=$Z$3,"Full",SUMIFS($C$3:$C33,$D$3:$D33,M$2)))</f>
        <v>-</v>
      </c>
      <c r="N33" s="2" t="str">
        <f>IF(N$1&gt;$Z$4,"-",IF(COUNTIF($D$3:$D33,N$2)=$Z$3,"Full",SUMIFS($C$3:$C33,$D$3:$D33,N$2)))</f>
        <v>-</v>
      </c>
      <c r="O33" s="2" t="str">
        <f>IF(O$1&gt;$Z$4,"-",IF(COUNTIF($D$3:$D33,O$2)=$Z$3,"Full",SUMIFS($C$3:$C33,$D$3:$D33,O$2)))</f>
        <v>-</v>
      </c>
      <c r="P33" s="2" t="str">
        <f>IF(P$1&gt;$Z$4,"-",IF(COUNTIF($D$3:$D33,P$2)=$Z$3,"Full",SUMIFS($C$3:$C33,$D$3:$D33,P$2)))</f>
        <v>-</v>
      </c>
      <c r="Q33" s="2" t="str">
        <f>IF(Q$1&gt;$Z$4,"-",IF(COUNTIF($D$3:$D33,Q$2)=$Z$3,"Full",SUMIFS($C$3:$C33,$D$3:$D33,Q$2)))</f>
        <v>-</v>
      </c>
      <c r="R33" s="2" t="str">
        <f>IF(R$1&gt;$Z$4,"-",IF(COUNTIF($D$3:$D33,R$2)=$Z$3,"Full",SUMIFS($C$3:$C33,$D$3:$D33,R$2)))</f>
        <v>-</v>
      </c>
      <c r="S33" s="2" t="str">
        <f>IF(S$1&gt;$Z$4,"-",IF(COUNTIF($D$3:$D33,S$2)=$Z$3,"Full",SUMIFS($C$3:$C33,$D$3:$D33,S$2)))</f>
        <v>-</v>
      </c>
      <c r="T33" s="11" t="str">
        <f>IF(T$1&gt;$Z$4,"-",IF(COUNTIF($D$3:$D33,T$2)=$Z$3,"Full",SUMIFS($C$3:$C33,$D$3:$D33,T$2)))</f>
        <v>-</v>
      </c>
      <c r="Y33" s="23"/>
      <c r="Z33" s="33" t="str">
        <f>IF(ISBLANK(Y33),"-",_xlfn.XLOOKUP(Y33,Logic!$B$3:$B$274,Logic!$C$3:$C$274,0))</f>
        <v>-</v>
      </c>
      <c r="AA33" s="23"/>
      <c r="AB33" s="33" t="str">
        <f>IF(ISBLANK(AA33),"-",_xlfn.XLOOKUP(AA33,Logic!$B$3:$B$274,Logic!$C$3:$C$274,0))</f>
        <v>-</v>
      </c>
      <c r="AC33" s="23"/>
      <c r="AD33" s="33" t="str">
        <f>IF(ISBLANK(AC33),"-",_xlfn.XLOOKUP(AC33,Logic!$B$3:$B$274,Logic!$C$3:$C$274,0))</f>
        <v>-</v>
      </c>
      <c r="AE33" s="23"/>
      <c r="AF33" s="33" t="str">
        <f>IF(ISBLANK(AE33),"-",_xlfn.XLOOKUP(AE33,Logic!$B$3:$B$274,Logic!$C$3:$C$274,0))</f>
        <v>-</v>
      </c>
      <c r="AG33" s="23"/>
      <c r="AH33" s="33" t="str">
        <f>IF(ISBLANK(AG33),"-",_xlfn.XLOOKUP(AG33,Logic!$B$3:$B$274,Logic!$C$3:$C$274,0))</f>
        <v>-</v>
      </c>
      <c r="AI33" s="23"/>
      <c r="AJ33" s="33" t="str">
        <f>IF(ISBLANK(AI33),"-",_xlfn.XLOOKUP(AI33,Logic!$B$3:$B$274,Logic!$C$3:$C$274,0))</f>
        <v>-</v>
      </c>
      <c r="AK33" s="23"/>
      <c r="AL33" s="33" t="str">
        <f>IF(ISBLANK(AK33),"-",_xlfn.XLOOKUP(AK33,Logic!$B$3:$B$274,Logic!$C$3:$C$274,0))</f>
        <v>-</v>
      </c>
      <c r="AM33" s="23"/>
      <c r="AN33" s="33" t="str">
        <f>IF(ISBLANK(AM33),"-",_xlfn.XLOOKUP(AM33,Logic!$B$3:$B$274,Logic!$C$3:$C$274,0))</f>
        <v>-</v>
      </c>
      <c r="AO33" s="23"/>
      <c r="AP33" s="33" t="str">
        <f>IF(ISBLANK(AO33),"-",_xlfn.XLOOKUP(AO33,Logic!$B$3:$B$274,Logic!$C$3:$C$274,0))</f>
        <v>-</v>
      </c>
      <c r="AQ33" s="23"/>
      <c r="AR33" s="33" t="str">
        <f>IF(ISBLANK(AQ33),"-",_xlfn.XLOOKUP(AQ33,Logic!$B$3:$B$274,Logic!$C$3:$C$274,0))</f>
        <v>-</v>
      </c>
      <c r="AS33" s="23"/>
      <c r="AT33" s="33" t="str">
        <f>IF(ISBLANK(AS33),"-",_xlfn.XLOOKUP(AS33,Logic!$B$3:$B$274,Logic!$C$3:$C$274,0))</f>
        <v>-</v>
      </c>
      <c r="AU33" s="23"/>
      <c r="AV33" s="33" t="str">
        <f>IF(ISBLANK(AU33),"-",_xlfn.XLOOKUP(AU33,Logic!$B$3:$B$274,Logic!$C$3:$C$274,0))</f>
        <v>-</v>
      </c>
      <c r="AW33" s="23"/>
      <c r="AX33" s="33" t="str">
        <f>IF(ISBLANK(AW33),"-",_xlfn.XLOOKUP(AW33,Logic!$B$3:$B$274,Logic!$C$3:$C$274,0))</f>
        <v>-</v>
      </c>
      <c r="AY33" s="23"/>
      <c r="AZ33" s="33" t="str">
        <f>IF(ISBLANK(AY33),"-",_xlfn.XLOOKUP(AY33,Logic!$B$3:$B$274,Logic!$C$3:$C$274,0))</f>
        <v>-</v>
      </c>
      <c r="BA33" s="23"/>
      <c r="BB33" s="33" t="str">
        <f>IF(ISBLANK(BA33),"-",_xlfn.XLOOKUP(BA33,Logic!$B$3:$B$274,Logic!$C$3:$C$274,0))</f>
        <v>-</v>
      </c>
      <c r="BC33" s="23"/>
      <c r="BD33" s="33" t="str">
        <f>IF(ISBLANK(BC33),"-",_xlfn.XLOOKUP(BC33,Logic!$B$3:$B$274,Logic!$C$3:$C$274,0))</f>
        <v>-</v>
      </c>
    </row>
    <row r="34" spans="1:56" ht="15.75" thickBot="1" x14ac:dyDescent="0.3">
      <c r="A34" s="10">
        <f t="shared" si="1"/>
        <v>32</v>
      </c>
      <c r="B34" s="2" t="str">
        <v>Ireland</v>
      </c>
      <c r="C34" s="11">
        <v>1.99</v>
      </c>
      <c r="D34" s="14" t="str" cm="1">
        <f t="array" aca="1" ref="D34" ca="1">IFERROR(_xlfn.XLOOKUP(MIN(E33:INDIRECT($AA$4&amp;A34+1)),E33:INDIRECT($AA$4&amp;A34+1),$E$2:INDIRECT($AA$4&amp;"$2")),"-")</f>
        <v>-</v>
      </c>
      <c r="E34" s="10" t="str">
        <f ca="1">IF(E$1&gt;$Z$4,"-",IF(COUNTIF($D$3:$D34,E$2)=$Z$3,"Full",SUMIFS($C$3:$C34,$D$3:$D34,E$2)))</f>
        <v>Full</v>
      </c>
      <c r="F34" s="2" t="str">
        <f>IF(F$1&gt;$Z$4,"-",IF(COUNTIF($D$3:$D34,F$2)=$Z$3,"Full",SUMIFS($C$3:$C34,$D$3:$D34,F$2)))</f>
        <v>-</v>
      </c>
      <c r="G34" s="2" t="str">
        <f>IF(G$1&gt;$Z$4,"-",IF(COUNTIF($D$3:$D34,G$2)=$Z$3,"Full",SUMIFS($C$3:$C34,$D$3:$D34,G$2)))</f>
        <v>-</v>
      </c>
      <c r="H34" s="2" t="str">
        <f>IF(H$1&gt;$Z$4,"-",IF(COUNTIF($D$3:$D34,H$2)=$Z$3,"Full",SUMIFS($C$3:$C34,$D$3:$D34,H$2)))</f>
        <v>-</v>
      </c>
      <c r="I34" s="2" t="str">
        <f>IF(I$1&gt;$Z$4,"-",IF(COUNTIF($D$3:$D34,I$2)=$Z$3,"Full",SUMIFS($C$3:$C34,$D$3:$D34,I$2)))</f>
        <v>-</v>
      </c>
      <c r="J34" s="2" t="str">
        <f>IF(J$1&gt;$Z$4,"-",IF(COUNTIF($D$3:$D34,J$2)=$Z$3,"Full",SUMIFS($C$3:$C34,$D$3:$D34,J$2)))</f>
        <v>-</v>
      </c>
      <c r="K34" s="2" t="str">
        <f>IF(K$1&gt;$Z$4,"-",IF(COUNTIF($D$3:$D34,K$2)=$Z$3,"Full",SUMIFS($C$3:$C34,$D$3:$D34,K$2)))</f>
        <v>-</v>
      </c>
      <c r="L34" s="2" t="str">
        <f>IF(L$1&gt;$Z$4,"-",IF(COUNTIF($D$3:$D34,L$2)=$Z$3,"Full",SUMIFS($C$3:$C34,$D$3:$D34,L$2)))</f>
        <v>-</v>
      </c>
      <c r="M34" s="2" t="str">
        <f>IF(M$1&gt;$Z$4,"-",IF(COUNTIF($D$3:$D34,M$2)=$Z$3,"Full",SUMIFS($C$3:$C34,$D$3:$D34,M$2)))</f>
        <v>-</v>
      </c>
      <c r="N34" s="2" t="str">
        <f>IF(N$1&gt;$Z$4,"-",IF(COUNTIF($D$3:$D34,N$2)=$Z$3,"Full",SUMIFS($C$3:$C34,$D$3:$D34,N$2)))</f>
        <v>-</v>
      </c>
      <c r="O34" s="2" t="str">
        <f>IF(O$1&gt;$Z$4,"-",IF(COUNTIF($D$3:$D34,O$2)=$Z$3,"Full",SUMIFS($C$3:$C34,$D$3:$D34,O$2)))</f>
        <v>-</v>
      </c>
      <c r="P34" s="2" t="str">
        <f>IF(P$1&gt;$Z$4,"-",IF(COUNTIF($D$3:$D34,P$2)=$Z$3,"Full",SUMIFS($C$3:$C34,$D$3:$D34,P$2)))</f>
        <v>-</v>
      </c>
      <c r="Q34" s="2" t="str">
        <f>IF(Q$1&gt;$Z$4,"-",IF(COUNTIF($D$3:$D34,Q$2)=$Z$3,"Full",SUMIFS($C$3:$C34,$D$3:$D34,Q$2)))</f>
        <v>-</v>
      </c>
      <c r="R34" s="2" t="str">
        <f>IF(R$1&gt;$Z$4,"-",IF(COUNTIF($D$3:$D34,R$2)=$Z$3,"Full",SUMIFS($C$3:$C34,$D$3:$D34,R$2)))</f>
        <v>-</v>
      </c>
      <c r="S34" s="2" t="str">
        <f>IF(S$1&gt;$Z$4,"-",IF(COUNTIF($D$3:$D34,S$2)=$Z$3,"Full",SUMIFS($C$3:$C34,$D$3:$D34,S$2)))</f>
        <v>-</v>
      </c>
      <c r="T34" s="11" t="str">
        <f>IF(T$1&gt;$Z$4,"-",IF(COUNTIF($D$3:$D34,T$2)=$Z$3,"Full",SUMIFS($C$3:$C34,$D$3:$D34,T$2)))</f>
        <v>-</v>
      </c>
    </row>
    <row r="35" spans="1:56" ht="15.75" thickBot="1" x14ac:dyDescent="0.3">
      <c r="A35" s="10">
        <f t="shared" si="1"/>
        <v>33</v>
      </c>
      <c r="B35" s="2" t="str">
        <v>Romania</v>
      </c>
      <c r="C35" s="11">
        <v>1.99</v>
      </c>
      <c r="D35" s="14" t="str" cm="1">
        <f t="array" aca="1" ref="D35" ca="1">IFERROR(_xlfn.XLOOKUP(MIN(E34:INDIRECT($AA$4&amp;A35+1)),E34:INDIRECT($AA$4&amp;A35+1),$E$2:INDIRECT($AA$4&amp;"$2")),"-")</f>
        <v>-</v>
      </c>
      <c r="E35" s="10" t="str">
        <f ca="1">IF(E$1&gt;$Z$4,"-",IF(COUNTIF($D$3:$D35,E$2)=$Z$3,"Full",SUMIFS($C$3:$C35,$D$3:$D35,E$2)))</f>
        <v>Full</v>
      </c>
      <c r="F35" s="2" t="str">
        <f>IF(F$1&gt;$Z$4,"-",IF(COUNTIF($D$3:$D35,F$2)=$Z$3,"Full",SUMIFS($C$3:$C35,$D$3:$D35,F$2)))</f>
        <v>-</v>
      </c>
      <c r="G35" s="2" t="str">
        <f>IF(G$1&gt;$Z$4,"-",IF(COUNTIF($D$3:$D35,G$2)=$Z$3,"Full",SUMIFS($C$3:$C35,$D$3:$D35,G$2)))</f>
        <v>-</v>
      </c>
      <c r="H35" s="2" t="str">
        <f>IF(H$1&gt;$Z$4,"-",IF(COUNTIF($D$3:$D35,H$2)=$Z$3,"Full",SUMIFS($C$3:$C35,$D$3:$D35,H$2)))</f>
        <v>-</v>
      </c>
      <c r="I35" s="2" t="str">
        <f>IF(I$1&gt;$Z$4,"-",IF(COUNTIF($D$3:$D35,I$2)=$Z$3,"Full",SUMIFS($C$3:$C35,$D$3:$D35,I$2)))</f>
        <v>-</v>
      </c>
      <c r="J35" s="2" t="str">
        <f>IF(J$1&gt;$Z$4,"-",IF(COUNTIF($D$3:$D35,J$2)=$Z$3,"Full",SUMIFS($C$3:$C35,$D$3:$D35,J$2)))</f>
        <v>-</v>
      </c>
      <c r="K35" s="2" t="str">
        <f>IF(K$1&gt;$Z$4,"-",IF(COUNTIF($D$3:$D35,K$2)=$Z$3,"Full",SUMIFS($C$3:$C35,$D$3:$D35,K$2)))</f>
        <v>-</v>
      </c>
      <c r="L35" s="2" t="str">
        <f>IF(L$1&gt;$Z$4,"-",IF(COUNTIF($D$3:$D35,L$2)=$Z$3,"Full",SUMIFS($C$3:$C35,$D$3:$D35,L$2)))</f>
        <v>-</v>
      </c>
      <c r="M35" s="2" t="str">
        <f>IF(M$1&gt;$Z$4,"-",IF(COUNTIF($D$3:$D35,M$2)=$Z$3,"Full",SUMIFS($C$3:$C35,$D$3:$D35,M$2)))</f>
        <v>-</v>
      </c>
      <c r="N35" s="2" t="str">
        <f>IF(N$1&gt;$Z$4,"-",IF(COUNTIF($D$3:$D35,N$2)=$Z$3,"Full",SUMIFS($C$3:$C35,$D$3:$D35,N$2)))</f>
        <v>-</v>
      </c>
      <c r="O35" s="2" t="str">
        <f>IF(O$1&gt;$Z$4,"-",IF(COUNTIF($D$3:$D35,O$2)=$Z$3,"Full",SUMIFS($C$3:$C35,$D$3:$D35,O$2)))</f>
        <v>-</v>
      </c>
      <c r="P35" s="2" t="str">
        <f>IF(P$1&gt;$Z$4,"-",IF(COUNTIF($D$3:$D35,P$2)=$Z$3,"Full",SUMIFS($C$3:$C35,$D$3:$D35,P$2)))</f>
        <v>-</v>
      </c>
      <c r="Q35" s="2" t="str">
        <f>IF(Q$1&gt;$Z$4,"-",IF(COUNTIF($D$3:$D35,Q$2)=$Z$3,"Full",SUMIFS($C$3:$C35,$D$3:$D35,Q$2)))</f>
        <v>-</v>
      </c>
      <c r="R35" s="2" t="str">
        <f>IF(R$1&gt;$Z$4,"-",IF(COUNTIF($D$3:$D35,R$2)=$Z$3,"Full",SUMIFS($C$3:$C35,$D$3:$D35,R$2)))</f>
        <v>-</v>
      </c>
      <c r="S35" s="2" t="str">
        <f>IF(S$1&gt;$Z$4,"-",IF(COUNTIF($D$3:$D35,S$2)=$Z$3,"Full",SUMIFS($C$3:$C35,$D$3:$D35,S$2)))</f>
        <v>-</v>
      </c>
      <c r="T35" s="11" t="str">
        <f>IF(T$1&gt;$Z$4,"-",IF(COUNTIF($D$3:$D35,T$2)=$Z$3,"Full",SUMIFS($C$3:$C35,$D$3:$D35,T$2)))</f>
        <v>-</v>
      </c>
      <c r="Y35" s="34" t="s">
        <v>158</v>
      </c>
      <c r="Z35" s="35">
        <f>SUM(Z24:Z33)</f>
        <v>15.95</v>
      </c>
      <c r="AA35" s="34" t="s">
        <v>158</v>
      </c>
      <c r="AB35" s="35">
        <f t="shared" ref="AB35" si="136">SUM(AB24:AB33)</f>
        <v>0</v>
      </c>
      <c r="AC35" s="34" t="s">
        <v>158</v>
      </c>
      <c r="AD35" s="35">
        <f t="shared" ref="AD35" si="137">SUM(AD24:AD33)</f>
        <v>0</v>
      </c>
      <c r="AE35" s="34" t="s">
        <v>158</v>
      </c>
      <c r="AF35" s="35">
        <f t="shared" ref="AF35" si="138">SUM(AF24:AF33)</f>
        <v>0</v>
      </c>
      <c r="AG35" s="34" t="s">
        <v>158</v>
      </c>
      <c r="AH35" s="35">
        <f t="shared" ref="AH35" si="139">SUM(AH24:AH33)</f>
        <v>0</v>
      </c>
      <c r="AI35" s="34" t="s">
        <v>158</v>
      </c>
      <c r="AJ35" s="35">
        <f t="shared" ref="AJ35" si="140">SUM(AJ24:AJ33)</f>
        <v>0</v>
      </c>
      <c r="AK35" s="34" t="s">
        <v>158</v>
      </c>
      <c r="AL35" s="35">
        <f t="shared" ref="AL35" si="141">SUM(AL24:AL33)</f>
        <v>0</v>
      </c>
      <c r="AM35" s="34" t="s">
        <v>158</v>
      </c>
      <c r="AN35" s="35">
        <f t="shared" ref="AN35" si="142">SUM(AN24:AN33)</f>
        <v>0</v>
      </c>
      <c r="AO35" s="34" t="s">
        <v>158</v>
      </c>
      <c r="AP35" s="35">
        <f t="shared" ref="AP35" si="143">SUM(AP24:AP33)</f>
        <v>0</v>
      </c>
      <c r="AQ35" s="34" t="s">
        <v>158</v>
      </c>
      <c r="AR35" s="35">
        <f t="shared" ref="AR35" si="144">SUM(AR24:AR33)</f>
        <v>0</v>
      </c>
      <c r="AS35" s="34" t="s">
        <v>158</v>
      </c>
      <c r="AT35" s="35">
        <f t="shared" ref="AT35" si="145">SUM(AT24:AT33)</f>
        <v>0</v>
      </c>
      <c r="AU35" s="34" t="s">
        <v>158</v>
      </c>
      <c r="AV35" s="35">
        <f t="shared" ref="AV35" si="146">SUM(AV24:AV33)</f>
        <v>0</v>
      </c>
      <c r="AW35" s="34" t="s">
        <v>158</v>
      </c>
      <c r="AX35" s="35">
        <f t="shared" ref="AX35" si="147">SUM(AX24:AX33)</f>
        <v>0</v>
      </c>
      <c r="AY35" s="34" t="s">
        <v>158</v>
      </c>
      <c r="AZ35" s="35">
        <f t="shared" ref="AZ35" si="148">SUM(AZ24:AZ33)</f>
        <v>0</v>
      </c>
      <c r="BA35" s="34" t="s">
        <v>158</v>
      </c>
      <c r="BB35" s="35">
        <f t="shared" ref="BB35" si="149">SUM(BB24:BB33)</f>
        <v>0</v>
      </c>
      <c r="BC35" s="34" t="s">
        <v>158</v>
      </c>
      <c r="BD35" s="35">
        <f t="shared" ref="BD35" si="150">SUM(BD24:BD33)</f>
        <v>0</v>
      </c>
    </row>
    <row r="36" spans="1:56" x14ac:dyDescent="0.25">
      <c r="A36" s="10">
        <f t="shared" si="1"/>
        <v>34</v>
      </c>
      <c r="B36" s="2" t="str">
        <v>Kazakhstan</v>
      </c>
      <c r="C36" s="11">
        <v>1.98</v>
      </c>
      <c r="D36" s="14" t="str" cm="1">
        <f t="array" aca="1" ref="D36" ca="1">IFERROR(_xlfn.XLOOKUP(MIN(E35:INDIRECT($AA$4&amp;A36+1)),E35:INDIRECT($AA$4&amp;A36+1),$E$2:INDIRECT($AA$4&amp;"$2")),"-")</f>
        <v>-</v>
      </c>
      <c r="E36" s="10" t="str">
        <f ca="1">IF(E$1&gt;$Z$4,"-",IF(COUNTIF($D$3:$D36,E$2)=$Z$3,"Full",SUMIFS($C$3:$C36,$D$3:$D36,E$2)))</f>
        <v>Full</v>
      </c>
      <c r="F36" s="2" t="str">
        <f>IF(F$1&gt;$Z$4,"-",IF(COUNTIF($D$3:$D36,F$2)=$Z$3,"Full",SUMIFS($C$3:$C36,$D$3:$D36,F$2)))</f>
        <v>-</v>
      </c>
      <c r="G36" s="2" t="str">
        <f>IF(G$1&gt;$Z$4,"-",IF(COUNTIF($D$3:$D36,G$2)=$Z$3,"Full",SUMIFS($C$3:$C36,$D$3:$D36,G$2)))</f>
        <v>-</v>
      </c>
      <c r="H36" s="2" t="str">
        <f>IF(H$1&gt;$Z$4,"-",IF(COUNTIF($D$3:$D36,H$2)=$Z$3,"Full",SUMIFS($C$3:$C36,$D$3:$D36,H$2)))</f>
        <v>-</v>
      </c>
      <c r="I36" s="2" t="str">
        <f>IF(I$1&gt;$Z$4,"-",IF(COUNTIF($D$3:$D36,I$2)=$Z$3,"Full",SUMIFS($C$3:$C36,$D$3:$D36,I$2)))</f>
        <v>-</v>
      </c>
      <c r="J36" s="2" t="str">
        <f>IF(J$1&gt;$Z$4,"-",IF(COUNTIF($D$3:$D36,J$2)=$Z$3,"Full",SUMIFS($C$3:$C36,$D$3:$D36,J$2)))</f>
        <v>-</v>
      </c>
      <c r="K36" s="2" t="str">
        <f>IF(K$1&gt;$Z$4,"-",IF(COUNTIF($D$3:$D36,K$2)=$Z$3,"Full",SUMIFS($C$3:$C36,$D$3:$D36,K$2)))</f>
        <v>-</v>
      </c>
      <c r="L36" s="2" t="str">
        <f>IF(L$1&gt;$Z$4,"-",IF(COUNTIF($D$3:$D36,L$2)=$Z$3,"Full",SUMIFS($C$3:$C36,$D$3:$D36,L$2)))</f>
        <v>-</v>
      </c>
      <c r="M36" s="2" t="str">
        <f>IF(M$1&gt;$Z$4,"-",IF(COUNTIF($D$3:$D36,M$2)=$Z$3,"Full",SUMIFS($C$3:$C36,$D$3:$D36,M$2)))</f>
        <v>-</v>
      </c>
      <c r="N36" s="2" t="str">
        <f>IF(N$1&gt;$Z$4,"-",IF(COUNTIF($D$3:$D36,N$2)=$Z$3,"Full",SUMIFS($C$3:$C36,$D$3:$D36,N$2)))</f>
        <v>-</v>
      </c>
      <c r="O36" s="2" t="str">
        <f>IF(O$1&gt;$Z$4,"-",IF(COUNTIF($D$3:$D36,O$2)=$Z$3,"Full",SUMIFS($C$3:$C36,$D$3:$D36,O$2)))</f>
        <v>-</v>
      </c>
      <c r="P36" s="2" t="str">
        <f>IF(P$1&gt;$Z$4,"-",IF(COUNTIF($D$3:$D36,P$2)=$Z$3,"Full",SUMIFS($C$3:$C36,$D$3:$D36,P$2)))</f>
        <v>-</v>
      </c>
      <c r="Q36" s="2" t="str">
        <f>IF(Q$1&gt;$Z$4,"-",IF(COUNTIF($D$3:$D36,Q$2)=$Z$3,"Full",SUMIFS($C$3:$C36,$D$3:$D36,Q$2)))</f>
        <v>-</v>
      </c>
      <c r="R36" s="2" t="str">
        <f>IF(R$1&gt;$Z$4,"-",IF(COUNTIF($D$3:$D36,R$2)=$Z$3,"Full",SUMIFS($C$3:$C36,$D$3:$D36,R$2)))</f>
        <v>-</v>
      </c>
      <c r="S36" s="2" t="str">
        <f>IF(S$1&gt;$Z$4,"-",IF(COUNTIF($D$3:$D36,S$2)=$Z$3,"Full",SUMIFS($C$3:$C36,$D$3:$D36,S$2)))</f>
        <v>-</v>
      </c>
      <c r="T36" s="11" t="str">
        <f>IF(T$1&gt;$Z$4,"-",IF(COUNTIF($D$3:$D36,T$2)=$Z$3,"Full",SUMIFS($C$3:$C36,$D$3:$D36,T$2)))</f>
        <v>-</v>
      </c>
      <c r="Z36" s="2">
        <v>1</v>
      </c>
      <c r="AB36" s="2">
        <v>2</v>
      </c>
      <c r="AD36" s="2">
        <v>3</v>
      </c>
      <c r="AF36" s="2">
        <v>4</v>
      </c>
      <c r="AH36" s="2">
        <v>5</v>
      </c>
      <c r="AJ36" s="2">
        <v>6</v>
      </c>
      <c r="AL36" s="2">
        <v>7</v>
      </c>
      <c r="AN36" s="2">
        <v>8</v>
      </c>
      <c r="AP36" s="2">
        <v>9</v>
      </c>
      <c r="AR36" s="2">
        <v>10</v>
      </c>
      <c r="AT36" s="2">
        <v>11</v>
      </c>
      <c r="AV36" s="2">
        <v>12</v>
      </c>
      <c r="AX36" s="2">
        <v>13</v>
      </c>
      <c r="AZ36" s="2">
        <v>14</v>
      </c>
      <c r="BB36" s="2">
        <v>15</v>
      </c>
      <c r="BD36" s="2">
        <v>16</v>
      </c>
    </row>
    <row r="37" spans="1:56" x14ac:dyDescent="0.25">
      <c r="A37" s="10">
        <f t="shared" si="1"/>
        <v>35</v>
      </c>
      <c r="B37" s="2" t="str">
        <v>Greece</v>
      </c>
      <c r="C37" s="11">
        <v>1.75</v>
      </c>
      <c r="D37" s="14" t="str" cm="1">
        <f t="array" aca="1" ref="D37" ca="1">IFERROR(_xlfn.XLOOKUP(MIN(E36:INDIRECT($AA$4&amp;A37+1)),E36:INDIRECT($AA$4&amp;A37+1),$E$2:INDIRECT($AA$4&amp;"$2")),"-")</f>
        <v>-</v>
      </c>
      <c r="E37" s="10" t="str">
        <f ca="1">IF(E$1&gt;$Z$4,"-",IF(COUNTIF($D$3:$D37,E$2)=$Z$3,"Full",SUMIFS($C$3:$C37,$D$3:$D37,E$2)))</f>
        <v>Full</v>
      </c>
      <c r="F37" s="2" t="str">
        <f>IF(F$1&gt;$Z$4,"-",IF(COUNTIF($D$3:$D37,F$2)=$Z$3,"Full",SUMIFS($C$3:$C37,$D$3:$D37,F$2)))</f>
        <v>-</v>
      </c>
      <c r="G37" s="2" t="str">
        <f>IF(G$1&gt;$Z$4,"-",IF(COUNTIF($D$3:$D37,G$2)=$Z$3,"Full",SUMIFS($C$3:$C37,$D$3:$D37,G$2)))</f>
        <v>-</v>
      </c>
      <c r="H37" s="2" t="str">
        <f>IF(H$1&gt;$Z$4,"-",IF(COUNTIF($D$3:$D37,H$2)=$Z$3,"Full",SUMIFS($C$3:$C37,$D$3:$D37,H$2)))</f>
        <v>-</v>
      </c>
      <c r="I37" s="2" t="str">
        <f>IF(I$1&gt;$Z$4,"-",IF(COUNTIF($D$3:$D37,I$2)=$Z$3,"Full",SUMIFS($C$3:$C37,$D$3:$D37,I$2)))</f>
        <v>-</v>
      </c>
      <c r="J37" s="2" t="str">
        <f>IF(J$1&gt;$Z$4,"-",IF(COUNTIF($D$3:$D37,J$2)=$Z$3,"Full",SUMIFS($C$3:$C37,$D$3:$D37,J$2)))</f>
        <v>-</v>
      </c>
      <c r="K37" s="2" t="str">
        <f>IF(K$1&gt;$Z$4,"-",IF(COUNTIF($D$3:$D37,K$2)=$Z$3,"Full",SUMIFS($C$3:$C37,$D$3:$D37,K$2)))</f>
        <v>-</v>
      </c>
      <c r="L37" s="2" t="str">
        <f>IF(L$1&gt;$Z$4,"-",IF(COUNTIF($D$3:$D37,L$2)=$Z$3,"Full",SUMIFS($C$3:$C37,$D$3:$D37,L$2)))</f>
        <v>-</v>
      </c>
      <c r="M37" s="2" t="str">
        <f>IF(M$1&gt;$Z$4,"-",IF(COUNTIF($D$3:$D37,M$2)=$Z$3,"Full",SUMIFS($C$3:$C37,$D$3:$D37,M$2)))</f>
        <v>-</v>
      </c>
      <c r="N37" s="2" t="str">
        <f>IF(N$1&gt;$Z$4,"-",IF(COUNTIF($D$3:$D37,N$2)=$Z$3,"Full",SUMIFS($C$3:$C37,$D$3:$D37,N$2)))</f>
        <v>-</v>
      </c>
      <c r="O37" s="2" t="str">
        <f>IF(O$1&gt;$Z$4,"-",IF(COUNTIF($D$3:$D37,O$2)=$Z$3,"Full",SUMIFS($C$3:$C37,$D$3:$D37,O$2)))</f>
        <v>-</v>
      </c>
      <c r="P37" s="2" t="str">
        <f>IF(P$1&gt;$Z$4,"-",IF(COUNTIF($D$3:$D37,P$2)=$Z$3,"Full",SUMIFS($C$3:$C37,$D$3:$D37,P$2)))</f>
        <v>-</v>
      </c>
      <c r="Q37" s="2" t="str">
        <f>IF(Q$1&gt;$Z$4,"-",IF(COUNTIF($D$3:$D37,Q$2)=$Z$3,"Full",SUMIFS($C$3:$C37,$D$3:$D37,Q$2)))</f>
        <v>-</v>
      </c>
      <c r="R37" s="2" t="str">
        <f>IF(R$1&gt;$Z$4,"-",IF(COUNTIF($D$3:$D37,R$2)=$Z$3,"Full",SUMIFS($C$3:$C37,$D$3:$D37,R$2)))</f>
        <v>-</v>
      </c>
      <c r="S37" s="2" t="str">
        <f>IF(S$1&gt;$Z$4,"-",IF(COUNTIF($D$3:$D37,S$2)=$Z$3,"Full",SUMIFS($C$3:$C37,$D$3:$D37,S$2)))</f>
        <v>-</v>
      </c>
      <c r="T37" s="11" t="str">
        <f>IF(T$1&gt;$Z$4,"-",IF(COUNTIF($D$3:$D37,T$2)=$Z$3,"Full",SUMIFS($C$3:$C37,$D$3:$D37,T$2)))</f>
        <v>-</v>
      </c>
    </row>
    <row r="38" spans="1:56" x14ac:dyDescent="0.25">
      <c r="A38" s="10">
        <f t="shared" si="1"/>
        <v>36</v>
      </c>
      <c r="B38" s="2" t="str">
        <v>South Africa</v>
      </c>
      <c r="C38" s="11">
        <v>1.67</v>
      </c>
      <c r="D38" s="14" t="str" cm="1">
        <f t="array" aca="1" ref="D38" ca="1">IFERROR(_xlfn.XLOOKUP(MIN(E37:INDIRECT($AA$4&amp;A38+1)),E37:INDIRECT($AA$4&amp;A38+1),$E$2:INDIRECT($AA$4&amp;"$2")),"-")</f>
        <v>-</v>
      </c>
      <c r="E38" s="10" t="str">
        <f ca="1">IF(E$1&gt;$Z$4,"-",IF(COUNTIF($D$3:$D38,E$2)=$Z$3,"Full",SUMIFS($C$3:$C38,$D$3:$D38,E$2)))</f>
        <v>Full</v>
      </c>
      <c r="F38" s="2" t="str">
        <f>IF(F$1&gt;$Z$4,"-",IF(COUNTIF($D$3:$D38,F$2)=$Z$3,"Full",SUMIFS($C$3:$C38,$D$3:$D38,F$2)))</f>
        <v>-</v>
      </c>
      <c r="G38" s="2" t="str">
        <f>IF(G$1&gt;$Z$4,"-",IF(COUNTIF($D$3:$D38,G$2)=$Z$3,"Full",SUMIFS($C$3:$C38,$D$3:$D38,G$2)))</f>
        <v>-</v>
      </c>
      <c r="H38" s="2" t="str">
        <f>IF(H$1&gt;$Z$4,"-",IF(COUNTIF($D$3:$D38,H$2)=$Z$3,"Full",SUMIFS($C$3:$C38,$D$3:$D38,H$2)))</f>
        <v>-</v>
      </c>
      <c r="I38" s="2" t="str">
        <f>IF(I$1&gt;$Z$4,"-",IF(COUNTIF($D$3:$D38,I$2)=$Z$3,"Full",SUMIFS($C$3:$C38,$D$3:$D38,I$2)))</f>
        <v>-</v>
      </c>
      <c r="J38" s="2" t="str">
        <f>IF(J$1&gt;$Z$4,"-",IF(COUNTIF($D$3:$D38,J$2)=$Z$3,"Full",SUMIFS($C$3:$C38,$D$3:$D38,J$2)))</f>
        <v>-</v>
      </c>
      <c r="K38" s="2" t="str">
        <f>IF(K$1&gt;$Z$4,"-",IF(COUNTIF($D$3:$D38,K$2)=$Z$3,"Full",SUMIFS($C$3:$C38,$D$3:$D38,K$2)))</f>
        <v>-</v>
      </c>
      <c r="L38" s="2" t="str">
        <f>IF(L$1&gt;$Z$4,"-",IF(COUNTIF($D$3:$D38,L$2)=$Z$3,"Full",SUMIFS($C$3:$C38,$D$3:$D38,L$2)))</f>
        <v>-</v>
      </c>
      <c r="M38" s="2" t="str">
        <f>IF(M$1&gt;$Z$4,"-",IF(COUNTIF($D$3:$D38,M$2)=$Z$3,"Full",SUMIFS($C$3:$C38,$D$3:$D38,M$2)))</f>
        <v>-</v>
      </c>
      <c r="N38" s="2" t="str">
        <f>IF(N$1&gt;$Z$4,"-",IF(COUNTIF($D$3:$D38,N$2)=$Z$3,"Full",SUMIFS($C$3:$C38,$D$3:$D38,N$2)))</f>
        <v>-</v>
      </c>
      <c r="O38" s="2" t="str">
        <f>IF(O$1&gt;$Z$4,"-",IF(COUNTIF($D$3:$D38,O$2)=$Z$3,"Full",SUMIFS($C$3:$C38,$D$3:$D38,O$2)))</f>
        <v>-</v>
      </c>
      <c r="P38" s="2" t="str">
        <f>IF(P$1&gt;$Z$4,"-",IF(COUNTIF($D$3:$D38,P$2)=$Z$3,"Full",SUMIFS($C$3:$C38,$D$3:$D38,P$2)))</f>
        <v>-</v>
      </c>
      <c r="Q38" s="2" t="str">
        <f>IF(Q$1&gt;$Z$4,"-",IF(COUNTIF($D$3:$D38,Q$2)=$Z$3,"Full",SUMIFS($C$3:$C38,$D$3:$D38,Q$2)))</f>
        <v>-</v>
      </c>
      <c r="R38" s="2" t="str">
        <f>IF(R$1&gt;$Z$4,"-",IF(COUNTIF($D$3:$D38,R$2)=$Z$3,"Full",SUMIFS($C$3:$C38,$D$3:$D38,R$2)))</f>
        <v>-</v>
      </c>
      <c r="S38" s="2" t="str">
        <f>IF(S$1&gt;$Z$4,"-",IF(COUNTIF($D$3:$D38,S$2)=$Z$3,"Full",SUMIFS($C$3:$C38,$D$3:$D38,S$2)))</f>
        <v>-</v>
      </c>
      <c r="T38" s="11" t="str">
        <f>IF(T$1&gt;$Z$4,"-",IF(COUNTIF($D$3:$D38,T$2)=$Z$3,"Full",SUMIFS($C$3:$C38,$D$3:$D38,T$2)))</f>
        <v>-</v>
      </c>
    </row>
    <row r="39" spans="1:56" x14ac:dyDescent="0.25">
      <c r="A39" s="10">
        <f t="shared" si="1"/>
        <v>37</v>
      </c>
      <c r="B39" s="2" t="str">
        <v>Bulgaria</v>
      </c>
      <c r="C39" s="11">
        <v>1.58</v>
      </c>
      <c r="D39" s="14" t="str" cm="1">
        <f t="array" aca="1" ref="D39" ca="1">IFERROR(_xlfn.XLOOKUP(MIN(E38:INDIRECT($AA$4&amp;A39+1)),E38:INDIRECT($AA$4&amp;A39+1),$E$2:INDIRECT($AA$4&amp;"$2")),"-")</f>
        <v>-</v>
      </c>
      <c r="E39" s="10" t="str">
        <f ca="1">IF(E$1&gt;$Z$4,"-",IF(COUNTIF($D$3:$D39,E$2)=$Z$3,"Full",SUMIFS($C$3:$C39,$D$3:$D39,E$2)))</f>
        <v>Full</v>
      </c>
      <c r="F39" s="2" t="str">
        <f>IF(F$1&gt;$Z$4,"-",IF(COUNTIF($D$3:$D39,F$2)=$Z$3,"Full",SUMIFS($C$3:$C39,$D$3:$D39,F$2)))</f>
        <v>-</v>
      </c>
      <c r="G39" s="2" t="str">
        <f>IF(G$1&gt;$Z$4,"-",IF(COUNTIF($D$3:$D39,G$2)=$Z$3,"Full",SUMIFS($C$3:$C39,$D$3:$D39,G$2)))</f>
        <v>-</v>
      </c>
      <c r="H39" s="2" t="str">
        <f>IF(H$1&gt;$Z$4,"-",IF(COUNTIF($D$3:$D39,H$2)=$Z$3,"Full",SUMIFS($C$3:$C39,$D$3:$D39,H$2)))</f>
        <v>-</v>
      </c>
      <c r="I39" s="2" t="str">
        <f>IF(I$1&gt;$Z$4,"-",IF(COUNTIF($D$3:$D39,I$2)=$Z$3,"Full",SUMIFS($C$3:$C39,$D$3:$D39,I$2)))</f>
        <v>-</v>
      </c>
      <c r="J39" s="2" t="str">
        <f>IF(J$1&gt;$Z$4,"-",IF(COUNTIF($D$3:$D39,J$2)=$Z$3,"Full",SUMIFS($C$3:$C39,$D$3:$D39,J$2)))</f>
        <v>-</v>
      </c>
      <c r="K39" s="2" t="str">
        <f>IF(K$1&gt;$Z$4,"-",IF(COUNTIF($D$3:$D39,K$2)=$Z$3,"Full",SUMIFS($C$3:$C39,$D$3:$D39,K$2)))</f>
        <v>-</v>
      </c>
      <c r="L39" s="2" t="str">
        <f>IF(L$1&gt;$Z$4,"-",IF(COUNTIF($D$3:$D39,L$2)=$Z$3,"Full",SUMIFS($C$3:$C39,$D$3:$D39,L$2)))</f>
        <v>-</v>
      </c>
      <c r="M39" s="2" t="str">
        <f>IF(M$1&gt;$Z$4,"-",IF(COUNTIF($D$3:$D39,M$2)=$Z$3,"Full",SUMIFS($C$3:$C39,$D$3:$D39,M$2)))</f>
        <v>-</v>
      </c>
      <c r="N39" s="2" t="str">
        <f>IF(N$1&gt;$Z$4,"-",IF(COUNTIF($D$3:$D39,N$2)=$Z$3,"Full",SUMIFS($C$3:$C39,$D$3:$D39,N$2)))</f>
        <v>-</v>
      </c>
      <c r="O39" s="2" t="str">
        <f>IF(O$1&gt;$Z$4,"-",IF(COUNTIF($D$3:$D39,O$2)=$Z$3,"Full",SUMIFS($C$3:$C39,$D$3:$D39,O$2)))</f>
        <v>-</v>
      </c>
      <c r="P39" s="2" t="str">
        <f>IF(P$1&gt;$Z$4,"-",IF(COUNTIF($D$3:$D39,P$2)=$Z$3,"Full",SUMIFS($C$3:$C39,$D$3:$D39,P$2)))</f>
        <v>-</v>
      </c>
      <c r="Q39" s="2" t="str">
        <f>IF(Q$1&gt;$Z$4,"-",IF(COUNTIF($D$3:$D39,Q$2)=$Z$3,"Full",SUMIFS($C$3:$C39,$D$3:$D39,Q$2)))</f>
        <v>-</v>
      </c>
      <c r="R39" s="2" t="str">
        <f>IF(R$1&gt;$Z$4,"-",IF(COUNTIF($D$3:$D39,R$2)=$Z$3,"Full",SUMIFS($C$3:$C39,$D$3:$D39,R$2)))</f>
        <v>-</v>
      </c>
      <c r="S39" s="2" t="str">
        <f>IF(S$1&gt;$Z$4,"-",IF(COUNTIF($D$3:$D39,S$2)=$Z$3,"Full",SUMIFS($C$3:$C39,$D$3:$D39,S$2)))</f>
        <v>-</v>
      </c>
      <c r="T39" s="11" t="str">
        <f>IF(T$1&gt;$Z$4,"-",IF(COUNTIF($D$3:$D39,T$2)=$Z$3,"Full",SUMIFS($C$3:$C39,$D$3:$D39,T$2)))</f>
        <v>-</v>
      </c>
    </row>
    <row r="40" spans="1:56" x14ac:dyDescent="0.25">
      <c r="A40" s="10">
        <f t="shared" si="1"/>
        <v>38</v>
      </c>
      <c r="B40" s="2" t="str">
        <v>Chinese Taipei</v>
      </c>
      <c r="C40" s="11">
        <v>1.5</v>
      </c>
      <c r="D40" s="14" t="str" cm="1">
        <f t="array" aca="1" ref="D40" ca="1">IFERROR(_xlfn.XLOOKUP(MIN(E39:INDIRECT($AA$4&amp;A40+1)),E39:INDIRECT($AA$4&amp;A40+1),$E$2:INDIRECT($AA$4&amp;"$2")),"-")</f>
        <v>-</v>
      </c>
      <c r="E40" s="10" t="str">
        <f ca="1">IF(E$1&gt;$Z$4,"-",IF(COUNTIF($D$3:$D40,E$2)=$Z$3,"Full",SUMIFS($C$3:$C40,$D$3:$D40,E$2)))</f>
        <v>Full</v>
      </c>
      <c r="F40" s="2" t="str">
        <f>IF(F$1&gt;$Z$4,"-",IF(COUNTIF($D$3:$D40,F$2)=$Z$3,"Full",SUMIFS($C$3:$C40,$D$3:$D40,F$2)))</f>
        <v>-</v>
      </c>
      <c r="G40" s="2" t="str">
        <f>IF(G$1&gt;$Z$4,"-",IF(COUNTIF($D$3:$D40,G$2)=$Z$3,"Full",SUMIFS($C$3:$C40,$D$3:$D40,G$2)))</f>
        <v>-</v>
      </c>
      <c r="H40" s="2" t="str">
        <f>IF(H$1&gt;$Z$4,"-",IF(COUNTIF($D$3:$D40,H$2)=$Z$3,"Full",SUMIFS($C$3:$C40,$D$3:$D40,H$2)))</f>
        <v>-</v>
      </c>
      <c r="I40" s="2" t="str">
        <f>IF(I$1&gt;$Z$4,"-",IF(COUNTIF($D$3:$D40,I$2)=$Z$3,"Full",SUMIFS($C$3:$C40,$D$3:$D40,I$2)))</f>
        <v>-</v>
      </c>
      <c r="J40" s="2" t="str">
        <f>IF(J$1&gt;$Z$4,"-",IF(COUNTIF($D$3:$D40,J$2)=$Z$3,"Full",SUMIFS($C$3:$C40,$D$3:$D40,J$2)))</f>
        <v>-</v>
      </c>
      <c r="K40" s="2" t="str">
        <f>IF(K$1&gt;$Z$4,"-",IF(COUNTIF($D$3:$D40,K$2)=$Z$3,"Full",SUMIFS($C$3:$C40,$D$3:$D40,K$2)))</f>
        <v>-</v>
      </c>
      <c r="L40" s="2" t="str">
        <f>IF(L$1&gt;$Z$4,"-",IF(COUNTIF($D$3:$D40,L$2)=$Z$3,"Full",SUMIFS($C$3:$C40,$D$3:$D40,L$2)))</f>
        <v>-</v>
      </c>
      <c r="M40" s="2" t="str">
        <f>IF(M$1&gt;$Z$4,"-",IF(COUNTIF($D$3:$D40,M$2)=$Z$3,"Full",SUMIFS($C$3:$C40,$D$3:$D40,M$2)))</f>
        <v>-</v>
      </c>
      <c r="N40" s="2" t="str">
        <f>IF(N$1&gt;$Z$4,"-",IF(COUNTIF($D$3:$D40,N$2)=$Z$3,"Full",SUMIFS($C$3:$C40,$D$3:$D40,N$2)))</f>
        <v>-</v>
      </c>
      <c r="O40" s="2" t="str">
        <f>IF(O$1&gt;$Z$4,"-",IF(COUNTIF($D$3:$D40,O$2)=$Z$3,"Full",SUMIFS($C$3:$C40,$D$3:$D40,O$2)))</f>
        <v>-</v>
      </c>
      <c r="P40" s="2" t="str">
        <f>IF(P$1&gt;$Z$4,"-",IF(COUNTIF($D$3:$D40,P$2)=$Z$3,"Full",SUMIFS($C$3:$C40,$D$3:$D40,P$2)))</f>
        <v>-</v>
      </c>
      <c r="Q40" s="2" t="str">
        <f>IF(Q$1&gt;$Z$4,"-",IF(COUNTIF($D$3:$D40,Q$2)=$Z$3,"Full",SUMIFS($C$3:$C40,$D$3:$D40,Q$2)))</f>
        <v>-</v>
      </c>
      <c r="R40" s="2" t="str">
        <f>IF(R$1&gt;$Z$4,"-",IF(COUNTIF($D$3:$D40,R$2)=$Z$3,"Full",SUMIFS($C$3:$C40,$D$3:$D40,R$2)))</f>
        <v>-</v>
      </c>
      <c r="S40" s="2" t="str">
        <f>IF(S$1&gt;$Z$4,"-",IF(COUNTIF($D$3:$D40,S$2)=$Z$3,"Full",SUMIFS($C$3:$C40,$D$3:$D40,S$2)))</f>
        <v>-</v>
      </c>
      <c r="T40" s="11" t="str">
        <f>IF(T$1&gt;$Z$4,"-",IF(COUNTIF($D$3:$D40,T$2)=$Z$3,"Full",SUMIFS($C$3:$C40,$D$3:$D40,T$2)))</f>
        <v>-</v>
      </c>
    </row>
    <row r="41" spans="1:56" x14ac:dyDescent="0.25">
      <c r="A41" s="10">
        <f t="shared" si="1"/>
        <v>39</v>
      </c>
      <c r="B41" s="2" t="str">
        <v>Bahamas</v>
      </c>
      <c r="C41" s="11">
        <v>1.42</v>
      </c>
      <c r="D41" s="14" t="str" cm="1">
        <f t="array" aca="1" ref="D41" ca="1">IFERROR(_xlfn.XLOOKUP(MIN(E40:INDIRECT($AA$4&amp;A41+1)),E40:INDIRECT($AA$4&amp;A41+1),$E$2:INDIRECT($AA$4&amp;"$2")),"-")</f>
        <v>-</v>
      </c>
      <c r="E41" s="10" t="str">
        <f ca="1">IF(E$1&gt;$Z$4,"-",IF(COUNTIF($D$3:$D41,E$2)=$Z$3,"Full",SUMIFS($C$3:$C41,$D$3:$D41,E$2)))</f>
        <v>Full</v>
      </c>
      <c r="F41" s="2" t="str">
        <f>IF(F$1&gt;$Z$4,"-",IF(COUNTIF($D$3:$D41,F$2)=$Z$3,"Full",SUMIFS($C$3:$C41,$D$3:$D41,F$2)))</f>
        <v>-</v>
      </c>
      <c r="G41" s="2" t="str">
        <f>IF(G$1&gt;$Z$4,"-",IF(COUNTIF($D$3:$D41,G$2)=$Z$3,"Full",SUMIFS($C$3:$C41,$D$3:$D41,G$2)))</f>
        <v>-</v>
      </c>
      <c r="H41" s="2" t="str">
        <f>IF(H$1&gt;$Z$4,"-",IF(COUNTIF($D$3:$D41,H$2)=$Z$3,"Full",SUMIFS($C$3:$C41,$D$3:$D41,H$2)))</f>
        <v>-</v>
      </c>
      <c r="I41" s="2" t="str">
        <f>IF(I$1&gt;$Z$4,"-",IF(COUNTIF($D$3:$D41,I$2)=$Z$3,"Full",SUMIFS($C$3:$C41,$D$3:$D41,I$2)))</f>
        <v>-</v>
      </c>
      <c r="J41" s="2" t="str">
        <f>IF(J$1&gt;$Z$4,"-",IF(COUNTIF($D$3:$D41,J$2)=$Z$3,"Full",SUMIFS($C$3:$C41,$D$3:$D41,J$2)))</f>
        <v>-</v>
      </c>
      <c r="K41" s="2" t="str">
        <f>IF(K$1&gt;$Z$4,"-",IF(COUNTIF($D$3:$D41,K$2)=$Z$3,"Full",SUMIFS($C$3:$C41,$D$3:$D41,K$2)))</f>
        <v>-</v>
      </c>
      <c r="L41" s="2" t="str">
        <f>IF(L$1&gt;$Z$4,"-",IF(COUNTIF($D$3:$D41,L$2)=$Z$3,"Full",SUMIFS($C$3:$C41,$D$3:$D41,L$2)))</f>
        <v>-</v>
      </c>
      <c r="M41" s="2" t="str">
        <f>IF(M$1&gt;$Z$4,"-",IF(COUNTIF($D$3:$D41,M$2)=$Z$3,"Full",SUMIFS($C$3:$C41,$D$3:$D41,M$2)))</f>
        <v>-</v>
      </c>
      <c r="N41" s="2" t="str">
        <f>IF(N$1&gt;$Z$4,"-",IF(COUNTIF($D$3:$D41,N$2)=$Z$3,"Full",SUMIFS($C$3:$C41,$D$3:$D41,N$2)))</f>
        <v>-</v>
      </c>
      <c r="O41" s="2" t="str">
        <f>IF(O$1&gt;$Z$4,"-",IF(COUNTIF($D$3:$D41,O$2)=$Z$3,"Full",SUMIFS($C$3:$C41,$D$3:$D41,O$2)))</f>
        <v>-</v>
      </c>
      <c r="P41" s="2" t="str">
        <f>IF(P$1&gt;$Z$4,"-",IF(COUNTIF($D$3:$D41,P$2)=$Z$3,"Full",SUMIFS($C$3:$C41,$D$3:$D41,P$2)))</f>
        <v>-</v>
      </c>
      <c r="Q41" s="2" t="str">
        <f>IF(Q$1&gt;$Z$4,"-",IF(COUNTIF($D$3:$D41,Q$2)=$Z$3,"Full",SUMIFS($C$3:$C41,$D$3:$D41,Q$2)))</f>
        <v>-</v>
      </c>
      <c r="R41" s="2" t="str">
        <f>IF(R$1&gt;$Z$4,"-",IF(COUNTIF($D$3:$D41,R$2)=$Z$3,"Full",SUMIFS($C$3:$C41,$D$3:$D41,R$2)))</f>
        <v>-</v>
      </c>
      <c r="S41" s="2" t="str">
        <f>IF(S$1&gt;$Z$4,"-",IF(COUNTIF($D$3:$D41,S$2)=$Z$3,"Full",SUMIFS($C$3:$C41,$D$3:$D41,S$2)))</f>
        <v>-</v>
      </c>
      <c r="T41" s="11" t="str">
        <f>IF(T$1&gt;$Z$4,"-",IF(COUNTIF($D$3:$D41,T$2)=$Z$3,"Full",SUMIFS($C$3:$C41,$D$3:$D41,T$2)))</f>
        <v>-</v>
      </c>
    </row>
    <row r="42" spans="1:56" x14ac:dyDescent="0.25">
      <c r="A42" s="10">
        <f t="shared" si="1"/>
        <v>40</v>
      </c>
      <c r="B42" s="2" t="str">
        <v>Belarus</v>
      </c>
      <c r="C42" s="11">
        <v>1.33</v>
      </c>
      <c r="D42" s="14" t="str" cm="1">
        <f t="array" aca="1" ref="D42" ca="1">IFERROR(_xlfn.XLOOKUP(MIN(E41:INDIRECT($AA$4&amp;A42+1)),E41:INDIRECT($AA$4&amp;A42+1),$E$2:INDIRECT($AA$4&amp;"$2")),"-")</f>
        <v>-</v>
      </c>
      <c r="E42" s="10" t="str">
        <f ca="1">IF(E$1&gt;$Z$4,"-",IF(COUNTIF($D$3:$D42,E$2)=$Z$3,"Full",SUMIFS($C$3:$C42,$D$3:$D42,E$2)))</f>
        <v>Full</v>
      </c>
      <c r="F42" s="2" t="str">
        <f>IF(F$1&gt;$Z$4,"-",IF(COUNTIF($D$3:$D42,F$2)=$Z$3,"Full",SUMIFS($C$3:$C42,$D$3:$D42,F$2)))</f>
        <v>-</v>
      </c>
      <c r="G42" s="2" t="str">
        <f>IF(G$1&gt;$Z$4,"-",IF(COUNTIF($D$3:$D42,G$2)=$Z$3,"Full",SUMIFS($C$3:$C42,$D$3:$D42,G$2)))</f>
        <v>-</v>
      </c>
      <c r="H42" s="2" t="str">
        <f>IF(H$1&gt;$Z$4,"-",IF(COUNTIF($D$3:$D42,H$2)=$Z$3,"Full",SUMIFS($C$3:$C42,$D$3:$D42,H$2)))</f>
        <v>-</v>
      </c>
      <c r="I42" s="2" t="str">
        <f>IF(I$1&gt;$Z$4,"-",IF(COUNTIF($D$3:$D42,I$2)=$Z$3,"Full",SUMIFS($C$3:$C42,$D$3:$D42,I$2)))</f>
        <v>-</v>
      </c>
      <c r="J42" s="2" t="str">
        <f>IF(J$1&gt;$Z$4,"-",IF(COUNTIF($D$3:$D42,J$2)=$Z$3,"Full",SUMIFS($C$3:$C42,$D$3:$D42,J$2)))</f>
        <v>-</v>
      </c>
      <c r="K42" s="2" t="str">
        <f>IF(K$1&gt;$Z$4,"-",IF(COUNTIF($D$3:$D42,K$2)=$Z$3,"Full",SUMIFS($C$3:$C42,$D$3:$D42,K$2)))</f>
        <v>-</v>
      </c>
      <c r="L42" s="2" t="str">
        <f>IF(L$1&gt;$Z$4,"-",IF(COUNTIF($D$3:$D42,L$2)=$Z$3,"Full",SUMIFS($C$3:$C42,$D$3:$D42,L$2)))</f>
        <v>-</v>
      </c>
      <c r="M42" s="2" t="str">
        <f>IF(M$1&gt;$Z$4,"-",IF(COUNTIF($D$3:$D42,M$2)=$Z$3,"Full",SUMIFS($C$3:$C42,$D$3:$D42,M$2)))</f>
        <v>-</v>
      </c>
      <c r="N42" s="2" t="str">
        <f>IF(N$1&gt;$Z$4,"-",IF(COUNTIF($D$3:$D42,N$2)=$Z$3,"Full",SUMIFS($C$3:$C42,$D$3:$D42,N$2)))</f>
        <v>-</v>
      </c>
      <c r="O42" s="2" t="str">
        <f>IF(O$1&gt;$Z$4,"-",IF(COUNTIF($D$3:$D42,O$2)=$Z$3,"Full",SUMIFS($C$3:$C42,$D$3:$D42,O$2)))</f>
        <v>-</v>
      </c>
      <c r="P42" s="2" t="str">
        <f>IF(P$1&gt;$Z$4,"-",IF(COUNTIF($D$3:$D42,P$2)=$Z$3,"Full",SUMIFS($C$3:$C42,$D$3:$D42,P$2)))</f>
        <v>-</v>
      </c>
      <c r="Q42" s="2" t="str">
        <f>IF(Q$1&gt;$Z$4,"-",IF(COUNTIF($D$3:$D42,Q$2)=$Z$3,"Full",SUMIFS($C$3:$C42,$D$3:$D42,Q$2)))</f>
        <v>-</v>
      </c>
      <c r="R42" s="2" t="str">
        <f>IF(R$1&gt;$Z$4,"-",IF(COUNTIF($D$3:$D42,R$2)=$Z$3,"Full",SUMIFS($C$3:$C42,$D$3:$D42,R$2)))</f>
        <v>-</v>
      </c>
      <c r="S42" s="2" t="str">
        <f>IF(S$1&gt;$Z$4,"-",IF(COUNTIF($D$3:$D42,S$2)=$Z$3,"Full",SUMIFS($C$3:$C42,$D$3:$D42,S$2)))</f>
        <v>-</v>
      </c>
      <c r="T42" s="11" t="str">
        <f>IF(T$1&gt;$Z$4,"-",IF(COUNTIF($D$3:$D42,T$2)=$Z$3,"Full",SUMIFS($C$3:$C42,$D$3:$D42,T$2)))</f>
        <v>-</v>
      </c>
    </row>
    <row r="43" spans="1:56" x14ac:dyDescent="0.25">
      <c r="A43" s="10">
        <f t="shared" si="1"/>
        <v>41</v>
      </c>
      <c r="B43" s="2" t="str">
        <v>Kosovo</v>
      </c>
      <c r="C43" s="11">
        <v>1.25</v>
      </c>
      <c r="D43" s="14" t="str" cm="1">
        <f t="array" aca="1" ref="D43" ca="1">IFERROR(_xlfn.XLOOKUP(MIN(E42:INDIRECT($AA$4&amp;A43+1)),E42:INDIRECT($AA$4&amp;A43+1),$E$2:INDIRECT($AA$4&amp;"$2")),"-")</f>
        <v>-</v>
      </c>
      <c r="E43" s="10" t="str">
        <f ca="1">IF(E$1&gt;$Z$4,"-",IF(COUNTIF($D$3:$D43,E$2)=$Z$3,"Full",SUMIFS($C$3:$C43,$D$3:$D43,E$2)))</f>
        <v>Full</v>
      </c>
      <c r="F43" s="2" t="str">
        <f>IF(F$1&gt;$Z$4,"-",IF(COUNTIF($D$3:$D43,F$2)=$Z$3,"Full",SUMIFS($C$3:$C43,$D$3:$D43,F$2)))</f>
        <v>-</v>
      </c>
      <c r="G43" s="2" t="str">
        <f>IF(G$1&gt;$Z$4,"-",IF(COUNTIF($D$3:$D43,G$2)=$Z$3,"Full",SUMIFS($C$3:$C43,$D$3:$D43,G$2)))</f>
        <v>-</v>
      </c>
      <c r="H43" s="2" t="str">
        <f>IF(H$1&gt;$Z$4,"-",IF(COUNTIF($D$3:$D43,H$2)=$Z$3,"Full",SUMIFS($C$3:$C43,$D$3:$D43,H$2)))</f>
        <v>-</v>
      </c>
      <c r="I43" s="2" t="str">
        <f>IF(I$1&gt;$Z$4,"-",IF(COUNTIF($D$3:$D43,I$2)=$Z$3,"Full",SUMIFS($C$3:$C43,$D$3:$D43,I$2)))</f>
        <v>-</v>
      </c>
      <c r="J43" s="2" t="str">
        <f>IF(J$1&gt;$Z$4,"-",IF(COUNTIF($D$3:$D43,J$2)=$Z$3,"Full",SUMIFS($C$3:$C43,$D$3:$D43,J$2)))</f>
        <v>-</v>
      </c>
      <c r="K43" s="2" t="str">
        <f>IF(K$1&gt;$Z$4,"-",IF(COUNTIF($D$3:$D43,K$2)=$Z$3,"Full",SUMIFS($C$3:$C43,$D$3:$D43,K$2)))</f>
        <v>-</v>
      </c>
      <c r="L43" s="2" t="str">
        <f>IF(L$1&gt;$Z$4,"-",IF(COUNTIF($D$3:$D43,L$2)=$Z$3,"Full",SUMIFS($C$3:$C43,$D$3:$D43,L$2)))</f>
        <v>-</v>
      </c>
      <c r="M43" s="2" t="str">
        <f>IF(M$1&gt;$Z$4,"-",IF(COUNTIF($D$3:$D43,M$2)=$Z$3,"Full",SUMIFS($C$3:$C43,$D$3:$D43,M$2)))</f>
        <v>-</v>
      </c>
      <c r="N43" s="2" t="str">
        <f>IF(N$1&gt;$Z$4,"-",IF(COUNTIF($D$3:$D43,N$2)=$Z$3,"Full",SUMIFS($C$3:$C43,$D$3:$D43,N$2)))</f>
        <v>-</v>
      </c>
      <c r="O43" s="2" t="str">
        <f>IF(O$1&gt;$Z$4,"-",IF(COUNTIF($D$3:$D43,O$2)=$Z$3,"Full",SUMIFS($C$3:$C43,$D$3:$D43,O$2)))</f>
        <v>-</v>
      </c>
      <c r="P43" s="2" t="str">
        <f>IF(P$1&gt;$Z$4,"-",IF(COUNTIF($D$3:$D43,P$2)=$Z$3,"Full",SUMIFS($C$3:$C43,$D$3:$D43,P$2)))</f>
        <v>-</v>
      </c>
      <c r="Q43" s="2" t="str">
        <f>IF(Q$1&gt;$Z$4,"-",IF(COUNTIF($D$3:$D43,Q$2)=$Z$3,"Full",SUMIFS($C$3:$C43,$D$3:$D43,Q$2)))</f>
        <v>-</v>
      </c>
      <c r="R43" s="2" t="str">
        <f>IF(R$1&gt;$Z$4,"-",IF(COUNTIF($D$3:$D43,R$2)=$Z$3,"Full",SUMIFS($C$3:$C43,$D$3:$D43,R$2)))</f>
        <v>-</v>
      </c>
      <c r="S43" s="2" t="str">
        <f>IF(S$1&gt;$Z$4,"-",IF(COUNTIF($D$3:$D43,S$2)=$Z$3,"Full",SUMIFS($C$3:$C43,$D$3:$D43,S$2)))</f>
        <v>-</v>
      </c>
      <c r="T43" s="11" t="str">
        <f>IF(T$1&gt;$Z$4,"-",IF(COUNTIF($D$3:$D43,T$2)=$Z$3,"Full",SUMIFS($C$3:$C43,$D$3:$D43,T$2)))</f>
        <v>-</v>
      </c>
    </row>
    <row r="44" spans="1:56" x14ac:dyDescent="0.25">
      <c r="A44" s="10">
        <f t="shared" si="1"/>
        <v>42</v>
      </c>
      <c r="B44" s="2" t="str">
        <v>Slovakia</v>
      </c>
      <c r="C44" s="11">
        <v>1.25</v>
      </c>
      <c r="D44" s="14" t="str" cm="1">
        <f t="array" aca="1" ref="D44" ca="1">IFERROR(_xlfn.XLOOKUP(MIN(E43:INDIRECT($AA$4&amp;A44+1)),E43:INDIRECT($AA$4&amp;A44+1),$E$2:INDIRECT($AA$4&amp;"$2")),"-")</f>
        <v>-</v>
      </c>
      <c r="E44" s="10" t="str">
        <f ca="1">IF(E$1&gt;$Z$4,"-",IF(COUNTIF($D$3:$D44,E$2)=$Z$3,"Full",SUMIFS($C$3:$C44,$D$3:$D44,E$2)))</f>
        <v>Full</v>
      </c>
      <c r="F44" s="2" t="str">
        <f>IF(F$1&gt;$Z$4,"-",IF(COUNTIF($D$3:$D44,F$2)=$Z$3,"Full",SUMIFS($C$3:$C44,$D$3:$D44,F$2)))</f>
        <v>-</v>
      </c>
      <c r="G44" s="2" t="str">
        <f>IF(G$1&gt;$Z$4,"-",IF(COUNTIF($D$3:$D44,G$2)=$Z$3,"Full",SUMIFS($C$3:$C44,$D$3:$D44,G$2)))</f>
        <v>-</v>
      </c>
      <c r="H44" s="2" t="str">
        <f>IF(H$1&gt;$Z$4,"-",IF(COUNTIF($D$3:$D44,H$2)=$Z$3,"Full",SUMIFS($C$3:$C44,$D$3:$D44,H$2)))</f>
        <v>-</v>
      </c>
      <c r="I44" s="2" t="str">
        <f>IF(I$1&gt;$Z$4,"-",IF(COUNTIF($D$3:$D44,I$2)=$Z$3,"Full",SUMIFS($C$3:$C44,$D$3:$D44,I$2)))</f>
        <v>-</v>
      </c>
      <c r="J44" s="2" t="str">
        <f>IF(J$1&gt;$Z$4,"-",IF(COUNTIF($D$3:$D44,J$2)=$Z$3,"Full",SUMIFS($C$3:$C44,$D$3:$D44,J$2)))</f>
        <v>-</v>
      </c>
      <c r="K44" s="2" t="str">
        <f>IF(K$1&gt;$Z$4,"-",IF(COUNTIF($D$3:$D44,K$2)=$Z$3,"Full",SUMIFS($C$3:$C44,$D$3:$D44,K$2)))</f>
        <v>-</v>
      </c>
      <c r="L44" s="2" t="str">
        <f>IF(L$1&gt;$Z$4,"-",IF(COUNTIF($D$3:$D44,L$2)=$Z$3,"Full",SUMIFS($C$3:$C44,$D$3:$D44,L$2)))</f>
        <v>-</v>
      </c>
      <c r="M44" s="2" t="str">
        <f>IF(M$1&gt;$Z$4,"-",IF(COUNTIF($D$3:$D44,M$2)=$Z$3,"Full",SUMIFS($C$3:$C44,$D$3:$D44,M$2)))</f>
        <v>-</v>
      </c>
      <c r="N44" s="2" t="str">
        <f>IF(N$1&gt;$Z$4,"-",IF(COUNTIF($D$3:$D44,N$2)=$Z$3,"Full",SUMIFS($C$3:$C44,$D$3:$D44,N$2)))</f>
        <v>-</v>
      </c>
      <c r="O44" s="2" t="str">
        <f>IF(O$1&gt;$Z$4,"-",IF(COUNTIF($D$3:$D44,O$2)=$Z$3,"Full",SUMIFS($C$3:$C44,$D$3:$D44,O$2)))</f>
        <v>-</v>
      </c>
      <c r="P44" s="2" t="str">
        <f>IF(P$1&gt;$Z$4,"-",IF(COUNTIF($D$3:$D44,P$2)=$Z$3,"Full",SUMIFS($C$3:$C44,$D$3:$D44,P$2)))</f>
        <v>-</v>
      </c>
      <c r="Q44" s="2" t="str">
        <f>IF(Q$1&gt;$Z$4,"-",IF(COUNTIF($D$3:$D44,Q$2)=$Z$3,"Full",SUMIFS($C$3:$C44,$D$3:$D44,Q$2)))</f>
        <v>-</v>
      </c>
      <c r="R44" s="2" t="str">
        <f>IF(R$1&gt;$Z$4,"-",IF(COUNTIF($D$3:$D44,R$2)=$Z$3,"Full",SUMIFS($C$3:$C44,$D$3:$D44,R$2)))</f>
        <v>-</v>
      </c>
      <c r="S44" s="2" t="str">
        <f>IF(S$1&gt;$Z$4,"-",IF(COUNTIF($D$3:$D44,S$2)=$Z$3,"Full",SUMIFS($C$3:$C44,$D$3:$D44,S$2)))</f>
        <v>-</v>
      </c>
      <c r="T44" s="11" t="str">
        <f>IF(T$1&gt;$Z$4,"-",IF(COUNTIF($D$3:$D44,T$2)=$Z$3,"Full",SUMIFS($C$3:$C44,$D$3:$D44,T$2)))</f>
        <v>-</v>
      </c>
    </row>
    <row r="45" spans="1:56" x14ac:dyDescent="0.25">
      <c r="A45" s="10">
        <f t="shared" si="1"/>
        <v>43</v>
      </c>
      <c r="B45" s="2" t="str">
        <v>Uganda</v>
      </c>
      <c r="C45" s="11">
        <v>1.17</v>
      </c>
      <c r="D45" s="14" t="str" cm="1">
        <f t="array" aca="1" ref="D45" ca="1">IFERROR(_xlfn.XLOOKUP(MIN(E44:INDIRECT($AA$4&amp;A45+1)),E44:INDIRECT($AA$4&amp;A45+1),$E$2:INDIRECT($AA$4&amp;"$2")),"-")</f>
        <v>-</v>
      </c>
      <c r="E45" s="10" t="str">
        <f ca="1">IF(E$1&gt;$Z$4,"-",IF(COUNTIF($D$3:$D45,E$2)=$Z$3,"Full",SUMIFS($C$3:$C45,$D$3:$D45,E$2)))</f>
        <v>Full</v>
      </c>
      <c r="F45" s="2" t="str">
        <f>IF(F$1&gt;$Z$4,"-",IF(COUNTIF($D$3:$D45,F$2)=$Z$3,"Full",SUMIFS($C$3:$C45,$D$3:$D45,F$2)))</f>
        <v>-</v>
      </c>
      <c r="G45" s="2" t="str">
        <f>IF(G$1&gt;$Z$4,"-",IF(COUNTIF($D$3:$D45,G$2)=$Z$3,"Full",SUMIFS($C$3:$C45,$D$3:$D45,G$2)))</f>
        <v>-</v>
      </c>
      <c r="H45" s="2" t="str">
        <f>IF(H$1&gt;$Z$4,"-",IF(COUNTIF($D$3:$D45,H$2)=$Z$3,"Full",SUMIFS($C$3:$C45,$D$3:$D45,H$2)))</f>
        <v>-</v>
      </c>
      <c r="I45" s="2" t="str">
        <f>IF(I$1&gt;$Z$4,"-",IF(COUNTIF($D$3:$D45,I$2)=$Z$3,"Full",SUMIFS($C$3:$C45,$D$3:$D45,I$2)))</f>
        <v>-</v>
      </c>
      <c r="J45" s="2" t="str">
        <f>IF(J$1&gt;$Z$4,"-",IF(COUNTIF($D$3:$D45,J$2)=$Z$3,"Full",SUMIFS($C$3:$C45,$D$3:$D45,J$2)))</f>
        <v>-</v>
      </c>
      <c r="K45" s="2" t="str">
        <f>IF(K$1&gt;$Z$4,"-",IF(COUNTIF($D$3:$D45,K$2)=$Z$3,"Full",SUMIFS($C$3:$C45,$D$3:$D45,K$2)))</f>
        <v>-</v>
      </c>
      <c r="L45" s="2" t="str">
        <f>IF(L$1&gt;$Z$4,"-",IF(COUNTIF($D$3:$D45,L$2)=$Z$3,"Full",SUMIFS($C$3:$C45,$D$3:$D45,L$2)))</f>
        <v>-</v>
      </c>
      <c r="M45" s="2" t="str">
        <f>IF(M$1&gt;$Z$4,"-",IF(COUNTIF($D$3:$D45,M$2)=$Z$3,"Full",SUMIFS($C$3:$C45,$D$3:$D45,M$2)))</f>
        <v>-</v>
      </c>
      <c r="N45" s="2" t="str">
        <f>IF(N$1&gt;$Z$4,"-",IF(COUNTIF($D$3:$D45,N$2)=$Z$3,"Full",SUMIFS($C$3:$C45,$D$3:$D45,N$2)))</f>
        <v>-</v>
      </c>
      <c r="O45" s="2" t="str">
        <f>IF(O$1&gt;$Z$4,"-",IF(COUNTIF($D$3:$D45,O$2)=$Z$3,"Full",SUMIFS($C$3:$C45,$D$3:$D45,O$2)))</f>
        <v>-</v>
      </c>
      <c r="P45" s="2" t="str">
        <f>IF(P$1&gt;$Z$4,"-",IF(COUNTIF($D$3:$D45,P$2)=$Z$3,"Full",SUMIFS($C$3:$C45,$D$3:$D45,P$2)))</f>
        <v>-</v>
      </c>
      <c r="Q45" s="2" t="str">
        <f>IF(Q$1&gt;$Z$4,"-",IF(COUNTIF($D$3:$D45,Q$2)=$Z$3,"Full",SUMIFS($C$3:$C45,$D$3:$D45,Q$2)))</f>
        <v>-</v>
      </c>
      <c r="R45" s="2" t="str">
        <f>IF(R$1&gt;$Z$4,"-",IF(COUNTIF($D$3:$D45,R$2)=$Z$3,"Full",SUMIFS($C$3:$C45,$D$3:$D45,R$2)))</f>
        <v>-</v>
      </c>
      <c r="S45" s="2" t="str">
        <f>IF(S$1&gt;$Z$4,"-",IF(COUNTIF($D$3:$D45,S$2)=$Z$3,"Full",SUMIFS($C$3:$C45,$D$3:$D45,S$2)))</f>
        <v>-</v>
      </c>
      <c r="T45" s="11" t="str">
        <f>IF(T$1&gt;$Z$4,"-",IF(COUNTIF($D$3:$D45,T$2)=$Z$3,"Full",SUMIFS($C$3:$C45,$D$3:$D45,T$2)))</f>
        <v>-</v>
      </c>
    </row>
    <row r="46" spans="1:56" x14ac:dyDescent="0.25">
      <c r="A46" s="10">
        <f t="shared" si="1"/>
        <v>44</v>
      </c>
      <c r="B46" s="2" t="str">
        <v>Thailand</v>
      </c>
      <c r="C46" s="11">
        <v>1.17</v>
      </c>
      <c r="D46" s="14" t="str" cm="1">
        <f t="array" aca="1" ref="D46" ca="1">IFERROR(_xlfn.XLOOKUP(MIN(E45:INDIRECT($AA$4&amp;A46+1)),E45:INDIRECT($AA$4&amp;A46+1),$E$2:INDIRECT($AA$4&amp;"$2")),"-")</f>
        <v>-</v>
      </c>
      <c r="E46" s="10" t="str">
        <f ca="1">IF(E$1&gt;$Z$4,"-",IF(COUNTIF($D$3:$D46,E$2)=$Z$3,"Full",SUMIFS($C$3:$C46,$D$3:$D46,E$2)))</f>
        <v>Full</v>
      </c>
      <c r="F46" s="2" t="str">
        <f>IF(F$1&gt;$Z$4,"-",IF(COUNTIF($D$3:$D46,F$2)=$Z$3,"Full",SUMIFS($C$3:$C46,$D$3:$D46,F$2)))</f>
        <v>-</v>
      </c>
      <c r="G46" s="2" t="str">
        <f>IF(G$1&gt;$Z$4,"-",IF(COUNTIF($D$3:$D46,G$2)=$Z$3,"Full",SUMIFS($C$3:$C46,$D$3:$D46,G$2)))</f>
        <v>-</v>
      </c>
      <c r="H46" s="2" t="str">
        <f>IF(H$1&gt;$Z$4,"-",IF(COUNTIF($D$3:$D46,H$2)=$Z$3,"Full",SUMIFS($C$3:$C46,$D$3:$D46,H$2)))</f>
        <v>-</v>
      </c>
      <c r="I46" s="2" t="str">
        <f>IF(I$1&gt;$Z$4,"-",IF(COUNTIF($D$3:$D46,I$2)=$Z$3,"Full",SUMIFS($C$3:$C46,$D$3:$D46,I$2)))</f>
        <v>-</v>
      </c>
      <c r="J46" s="2" t="str">
        <f>IF(J$1&gt;$Z$4,"-",IF(COUNTIF($D$3:$D46,J$2)=$Z$3,"Full",SUMIFS($C$3:$C46,$D$3:$D46,J$2)))</f>
        <v>-</v>
      </c>
      <c r="K46" s="2" t="str">
        <f>IF(K$1&gt;$Z$4,"-",IF(COUNTIF($D$3:$D46,K$2)=$Z$3,"Full",SUMIFS($C$3:$C46,$D$3:$D46,K$2)))</f>
        <v>-</v>
      </c>
      <c r="L46" s="2" t="str">
        <f>IF(L$1&gt;$Z$4,"-",IF(COUNTIF($D$3:$D46,L$2)=$Z$3,"Full",SUMIFS($C$3:$C46,$D$3:$D46,L$2)))</f>
        <v>-</v>
      </c>
      <c r="M46" s="2" t="str">
        <f>IF(M$1&gt;$Z$4,"-",IF(COUNTIF($D$3:$D46,M$2)=$Z$3,"Full",SUMIFS($C$3:$C46,$D$3:$D46,M$2)))</f>
        <v>-</v>
      </c>
      <c r="N46" s="2" t="str">
        <f>IF(N$1&gt;$Z$4,"-",IF(COUNTIF($D$3:$D46,N$2)=$Z$3,"Full",SUMIFS($C$3:$C46,$D$3:$D46,N$2)))</f>
        <v>-</v>
      </c>
      <c r="O46" s="2" t="str">
        <f>IF(O$1&gt;$Z$4,"-",IF(COUNTIF($D$3:$D46,O$2)=$Z$3,"Full",SUMIFS($C$3:$C46,$D$3:$D46,O$2)))</f>
        <v>-</v>
      </c>
      <c r="P46" s="2" t="str">
        <f>IF(P$1&gt;$Z$4,"-",IF(COUNTIF($D$3:$D46,P$2)=$Z$3,"Full",SUMIFS($C$3:$C46,$D$3:$D46,P$2)))</f>
        <v>-</v>
      </c>
      <c r="Q46" s="2" t="str">
        <f>IF(Q$1&gt;$Z$4,"-",IF(COUNTIF($D$3:$D46,Q$2)=$Z$3,"Full",SUMIFS($C$3:$C46,$D$3:$D46,Q$2)))</f>
        <v>-</v>
      </c>
      <c r="R46" s="2" t="str">
        <f>IF(R$1&gt;$Z$4,"-",IF(COUNTIF($D$3:$D46,R$2)=$Z$3,"Full",SUMIFS($C$3:$C46,$D$3:$D46,R$2)))</f>
        <v>-</v>
      </c>
      <c r="S46" s="2" t="str">
        <f>IF(S$1&gt;$Z$4,"-",IF(COUNTIF($D$3:$D46,S$2)=$Z$3,"Full",SUMIFS($C$3:$C46,$D$3:$D46,S$2)))</f>
        <v>-</v>
      </c>
      <c r="T46" s="11" t="str">
        <f>IF(T$1&gt;$Z$4,"-",IF(COUNTIF($D$3:$D46,T$2)=$Z$3,"Full",SUMIFS($C$3:$C46,$D$3:$D46,T$2)))</f>
        <v>-</v>
      </c>
    </row>
    <row r="47" spans="1:56" x14ac:dyDescent="0.25">
      <c r="A47" s="10">
        <f t="shared" si="1"/>
        <v>45</v>
      </c>
      <c r="B47" s="2" t="str">
        <v>Argentina</v>
      </c>
      <c r="C47" s="11">
        <v>1.08</v>
      </c>
      <c r="D47" s="14" t="str" cm="1">
        <f t="array" aca="1" ref="D47" ca="1">IFERROR(_xlfn.XLOOKUP(MIN(E46:INDIRECT($AA$4&amp;A47+1)),E46:INDIRECT($AA$4&amp;A47+1),$E$2:INDIRECT($AA$4&amp;"$2")),"-")</f>
        <v>-</v>
      </c>
      <c r="E47" s="10" t="str">
        <f ca="1">IF(E$1&gt;$Z$4,"-",IF(COUNTIF($D$3:$D47,E$2)=$Z$3,"Full",SUMIFS($C$3:$C47,$D$3:$D47,E$2)))</f>
        <v>Full</v>
      </c>
      <c r="F47" s="2" t="str">
        <f>IF(F$1&gt;$Z$4,"-",IF(COUNTIF($D$3:$D47,F$2)=$Z$3,"Full",SUMIFS($C$3:$C47,$D$3:$D47,F$2)))</f>
        <v>-</v>
      </c>
      <c r="G47" s="2" t="str">
        <f>IF(G$1&gt;$Z$4,"-",IF(COUNTIF($D$3:$D47,G$2)=$Z$3,"Full",SUMIFS($C$3:$C47,$D$3:$D47,G$2)))</f>
        <v>-</v>
      </c>
      <c r="H47" s="2" t="str">
        <f>IF(H$1&gt;$Z$4,"-",IF(COUNTIF($D$3:$D47,H$2)=$Z$3,"Full",SUMIFS($C$3:$C47,$D$3:$D47,H$2)))</f>
        <v>-</v>
      </c>
      <c r="I47" s="2" t="str">
        <f>IF(I$1&gt;$Z$4,"-",IF(COUNTIF($D$3:$D47,I$2)=$Z$3,"Full",SUMIFS($C$3:$C47,$D$3:$D47,I$2)))</f>
        <v>-</v>
      </c>
      <c r="J47" s="2" t="str">
        <f>IF(J$1&gt;$Z$4,"-",IF(COUNTIF($D$3:$D47,J$2)=$Z$3,"Full",SUMIFS($C$3:$C47,$D$3:$D47,J$2)))</f>
        <v>-</v>
      </c>
      <c r="K47" s="2" t="str">
        <f>IF(K$1&gt;$Z$4,"-",IF(COUNTIF($D$3:$D47,K$2)=$Z$3,"Full",SUMIFS($C$3:$C47,$D$3:$D47,K$2)))</f>
        <v>-</v>
      </c>
      <c r="L47" s="2" t="str">
        <f>IF(L$1&gt;$Z$4,"-",IF(COUNTIF($D$3:$D47,L$2)=$Z$3,"Full",SUMIFS($C$3:$C47,$D$3:$D47,L$2)))</f>
        <v>-</v>
      </c>
      <c r="M47" s="2" t="str">
        <f>IF(M$1&gt;$Z$4,"-",IF(COUNTIF($D$3:$D47,M$2)=$Z$3,"Full",SUMIFS($C$3:$C47,$D$3:$D47,M$2)))</f>
        <v>-</v>
      </c>
      <c r="N47" s="2" t="str">
        <f>IF(N$1&gt;$Z$4,"-",IF(COUNTIF($D$3:$D47,N$2)=$Z$3,"Full",SUMIFS($C$3:$C47,$D$3:$D47,N$2)))</f>
        <v>-</v>
      </c>
      <c r="O47" s="2" t="str">
        <f>IF(O$1&gt;$Z$4,"-",IF(COUNTIF($D$3:$D47,O$2)=$Z$3,"Full",SUMIFS($C$3:$C47,$D$3:$D47,O$2)))</f>
        <v>-</v>
      </c>
      <c r="P47" s="2" t="str">
        <f>IF(P$1&gt;$Z$4,"-",IF(COUNTIF($D$3:$D47,P$2)=$Z$3,"Full",SUMIFS($C$3:$C47,$D$3:$D47,P$2)))</f>
        <v>-</v>
      </c>
      <c r="Q47" s="2" t="str">
        <f>IF(Q$1&gt;$Z$4,"-",IF(COUNTIF($D$3:$D47,Q$2)=$Z$3,"Full",SUMIFS($C$3:$C47,$D$3:$D47,Q$2)))</f>
        <v>-</v>
      </c>
      <c r="R47" s="2" t="str">
        <f>IF(R$1&gt;$Z$4,"-",IF(COUNTIF($D$3:$D47,R$2)=$Z$3,"Full",SUMIFS($C$3:$C47,$D$3:$D47,R$2)))</f>
        <v>-</v>
      </c>
      <c r="S47" s="2" t="str">
        <f>IF(S$1&gt;$Z$4,"-",IF(COUNTIF($D$3:$D47,S$2)=$Z$3,"Full",SUMIFS($C$3:$C47,$D$3:$D47,S$2)))</f>
        <v>-</v>
      </c>
      <c r="T47" s="11" t="str">
        <f>IF(T$1&gt;$Z$4,"-",IF(COUNTIF($D$3:$D47,T$2)=$Z$3,"Full",SUMIFS($C$3:$C47,$D$3:$D47,T$2)))</f>
        <v>-</v>
      </c>
      <c r="AA47" s="2" t="s">
        <v>117</v>
      </c>
    </row>
    <row r="48" spans="1:56" x14ac:dyDescent="0.25">
      <c r="A48" s="10">
        <f t="shared" si="1"/>
        <v>46</v>
      </c>
      <c r="B48" s="2" t="str">
        <v>Ecuador</v>
      </c>
      <c r="C48" s="11">
        <v>1</v>
      </c>
      <c r="D48" s="14" t="str" cm="1">
        <f t="array" aca="1" ref="D48" ca="1">IFERROR(_xlfn.XLOOKUP(MIN(E47:INDIRECT($AA$4&amp;A48+1)),E47:INDIRECT($AA$4&amp;A48+1),$E$2:INDIRECT($AA$4&amp;"$2")),"-")</f>
        <v>-</v>
      </c>
      <c r="E48" s="10" t="str">
        <f ca="1">IF(E$1&gt;$Z$4,"-",IF(COUNTIF($D$3:$D48,E$2)=$Z$3,"Full",SUMIFS($C$3:$C48,$D$3:$D48,E$2)))</f>
        <v>Full</v>
      </c>
      <c r="F48" s="2" t="str">
        <f>IF(F$1&gt;$Z$4,"-",IF(COUNTIF($D$3:$D48,F$2)=$Z$3,"Full",SUMIFS($C$3:$C48,$D$3:$D48,F$2)))</f>
        <v>-</v>
      </c>
      <c r="G48" s="2" t="str">
        <f>IF(G$1&gt;$Z$4,"-",IF(COUNTIF($D$3:$D48,G$2)=$Z$3,"Full",SUMIFS($C$3:$C48,$D$3:$D48,G$2)))</f>
        <v>-</v>
      </c>
      <c r="H48" s="2" t="str">
        <f>IF(H$1&gt;$Z$4,"-",IF(COUNTIF($D$3:$D48,H$2)=$Z$3,"Full",SUMIFS($C$3:$C48,$D$3:$D48,H$2)))</f>
        <v>-</v>
      </c>
      <c r="I48" s="2" t="str">
        <f>IF(I$1&gt;$Z$4,"-",IF(COUNTIF($D$3:$D48,I$2)=$Z$3,"Full",SUMIFS($C$3:$C48,$D$3:$D48,I$2)))</f>
        <v>-</v>
      </c>
      <c r="J48" s="2" t="str">
        <f>IF(J$1&gt;$Z$4,"-",IF(COUNTIF($D$3:$D48,J$2)=$Z$3,"Full",SUMIFS($C$3:$C48,$D$3:$D48,J$2)))</f>
        <v>-</v>
      </c>
      <c r="K48" s="2" t="str">
        <f>IF(K$1&gt;$Z$4,"-",IF(COUNTIF($D$3:$D48,K$2)=$Z$3,"Full",SUMIFS($C$3:$C48,$D$3:$D48,K$2)))</f>
        <v>-</v>
      </c>
      <c r="L48" s="2" t="str">
        <f>IF(L$1&gt;$Z$4,"-",IF(COUNTIF($D$3:$D48,L$2)=$Z$3,"Full",SUMIFS($C$3:$C48,$D$3:$D48,L$2)))</f>
        <v>-</v>
      </c>
      <c r="M48" s="2" t="str">
        <f>IF(M$1&gt;$Z$4,"-",IF(COUNTIF($D$3:$D48,M$2)=$Z$3,"Full",SUMIFS($C$3:$C48,$D$3:$D48,M$2)))</f>
        <v>-</v>
      </c>
      <c r="N48" s="2" t="str">
        <f>IF(N$1&gt;$Z$4,"-",IF(COUNTIF($D$3:$D48,N$2)=$Z$3,"Full",SUMIFS($C$3:$C48,$D$3:$D48,N$2)))</f>
        <v>-</v>
      </c>
      <c r="O48" s="2" t="str">
        <f>IF(O$1&gt;$Z$4,"-",IF(COUNTIF($D$3:$D48,O$2)=$Z$3,"Full",SUMIFS($C$3:$C48,$D$3:$D48,O$2)))</f>
        <v>-</v>
      </c>
      <c r="P48" s="2" t="str">
        <f>IF(P$1&gt;$Z$4,"-",IF(COUNTIF($D$3:$D48,P$2)=$Z$3,"Full",SUMIFS($C$3:$C48,$D$3:$D48,P$2)))</f>
        <v>-</v>
      </c>
      <c r="Q48" s="2" t="str">
        <f>IF(Q$1&gt;$Z$4,"-",IF(COUNTIF($D$3:$D48,Q$2)=$Z$3,"Full",SUMIFS($C$3:$C48,$D$3:$D48,Q$2)))</f>
        <v>-</v>
      </c>
      <c r="R48" s="2" t="str">
        <f>IF(R$1&gt;$Z$4,"-",IF(COUNTIF($D$3:$D48,R$2)=$Z$3,"Full",SUMIFS($C$3:$C48,$D$3:$D48,R$2)))</f>
        <v>-</v>
      </c>
      <c r="S48" s="2" t="str">
        <f>IF(S$1&gt;$Z$4,"-",IF(COUNTIF($D$3:$D48,S$2)=$Z$3,"Full",SUMIFS($C$3:$C48,$D$3:$D48,S$2)))</f>
        <v>-</v>
      </c>
      <c r="T48" s="11" t="str">
        <f>IF(T$1&gt;$Z$4,"-",IF(COUNTIF($D$3:$D48,T$2)=$Z$3,"Full",SUMIFS($C$3:$C48,$D$3:$D48,T$2)))</f>
        <v>-</v>
      </c>
    </row>
    <row r="49" spans="1:39" x14ac:dyDescent="0.25">
      <c r="A49" s="10">
        <f t="shared" si="1"/>
        <v>47</v>
      </c>
      <c r="B49" s="2" t="str">
        <v>Israel</v>
      </c>
      <c r="C49" s="11">
        <v>1</v>
      </c>
      <c r="D49" s="14" t="str" cm="1">
        <f t="array" aca="1" ref="D49" ca="1">IFERROR(_xlfn.XLOOKUP(MIN(E48:INDIRECT($AA$4&amp;A49+1)),E48:INDIRECT($AA$4&amp;A49+1),$E$2:INDIRECT($AA$4&amp;"$2")),"-")</f>
        <v>-</v>
      </c>
      <c r="E49" s="10" t="str">
        <f ca="1">IF(E$1&gt;$Z$4,"-",IF(COUNTIF($D$3:$D49,E$2)=$Z$3,"Full",SUMIFS($C$3:$C49,$D$3:$D49,E$2)))</f>
        <v>Full</v>
      </c>
      <c r="F49" s="2" t="str">
        <f>IF(F$1&gt;$Z$4,"-",IF(COUNTIF($D$3:$D49,F$2)=$Z$3,"Full",SUMIFS($C$3:$C49,$D$3:$D49,F$2)))</f>
        <v>-</v>
      </c>
      <c r="G49" s="2" t="str">
        <f>IF(G$1&gt;$Z$4,"-",IF(COUNTIF($D$3:$D49,G$2)=$Z$3,"Full",SUMIFS($C$3:$C49,$D$3:$D49,G$2)))</f>
        <v>-</v>
      </c>
      <c r="H49" s="2" t="str">
        <f>IF(H$1&gt;$Z$4,"-",IF(COUNTIF($D$3:$D49,H$2)=$Z$3,"Full",SUMIFS($C$3:$C49,$D$3:$D49,H$2)))</f>
        <v>-</v>
      </c>
      <c r="I49" s="2" t="str">
        <f>IF(I$1&gt;$Z$4,"-",IF(COUNTIF($D$3:$D49,I$2)=$Z$3,"Full",SUMIFS($C$3:$C49,$D$3:$D49,I$2)))</f>
        <v>-</v>
      </c>
      <c r="J49" s="2" t="str">
        <f>IF(J$1&gt;$Z$4,"-",IF(COUNTIF($D$3:$D49,J$2)=$Z$3,"Full",SUMIFS($C$3:$C49,$D$3:$D49,J$2)))</f>
        <v>-</v>
      </c>
      <c r="K49" s="2" t="str">
        <f>IF(K$1&gt;$Z$4,"-",IF(COUNTIF($D$3:$D49,K$2)=$Z$3,"Full",SUMIFS($C$3:$C49,$D$3:$D49,K$2)))</f>
        <v>-</v>
      </c>
      <c r="L49" s="2" t="str">
        <f>IF(L$1&gt;$Z$4,"-",IF(COUNTIF($D$3:$D49,L$2)=$Z$3,"Full",SUMIFS($C$3:$C49,$D$3:$D49,L$2)))</f>
        <v>-</v>
      </c>
      <c r="M49" s="2" t="str">
        <f>IF(M$1&gt;$Z$4,"-",IF(COUNTIF($D$3:$D49,M$2)=$Z$3,"Full",SUMIFS($C$3:$C49,$D$3:$D49,M$2)))</f>
        <v>-</v>
      </c>
      <c r="N49" s="2" t="str">
        <f>IF(N$1&gt;$Z$4,"-",IF(COUNTIF($D$3:$D49,N$2)=$Z$3,"Full",SUMIFS($C$3:$C49,$D$3:$D49,N$2)))</f>
        <v>-</v>
      </c>
      <c r="O49" s="2" t="str">
        <f>IF(O$1&gt;$Z$4,"-",IF(COUNTIF($D$3:$D49,O$2)=$Z$3,"Full",SUMIFS($C$3:$C49,$D$3:$D49,O$2)))</f>
        <v>-</v>
      </c>
      <c r="P49" s="2" t="str">
        <f>IF(P$1&gt;$Z$4,"-",IF(COUNTIF($D$3:$D49,P$2)=$Z$3,"Full",SUMIFS($C$3:$C49,$D$3:$D49,P$2)))</f>
        <v>-</v>
      </c>
      <c r="Q49" s="2" t="str">
        <f>IF(Q$1&gt;$Z$4,"-",IF(COUNTIF($D$3:$D49,Q$2)=$Z$3,"Full",SUMIFS($C$3:$C49,$D$3:$D49,Q$2)))</f>
        <v>-</v>
      </c>
      <c r="R49" s="2" t="str">
        <f>IF(R$1&gt;$Z$4,"-",IF(COUNTIF($D$3:$D49,R$2)=$Z$3,"Full",SUMIFS($C$3:$C49,$D$3:$D49,R$2)))</f>
        <v>-</v>
      </c>
      <c r="S49" s="2" t="str">
        <f>IF(S$1&gt;$Z$4,"-",IF(COUNTIF($D$3:$D49,S$2)=$Z$3,"Full",SUMIFS($C$3:$C49,$D$3:$D49,S$2)))</f>
        <v>-</v>
      </c>
      <c r="T49" s="11" t="str">
        <f>IF(T$1&gt;$Z$4,"-",IF(COUNTIF($D$3:$D49,T$2)=$Z$3,"Full",SUMIFS($C$3:$C49,$D$3:$D49,T$2)))</f>
        <v>-</v>
      </c>
    </row>
    <row r="50" spans="1:39" x14ac:dyDescent="0.25">
      <c r="A50" s="10">
        <f t="shared" si="1"/>
        <v>48</v>
      </c>
      <c r="B50" s="2" t="str">
        <v>Qatar</v>
      </c>
      <c r="C50" s="11">
        <v>1</v>
      </c>
      <c r="D50" s="14" t="str" cm="1">
        <f t="array" aca="1" ref="D50" ca="1">IFERROR(_xlfn.XLOOKUP(MIN(E49:INDIRECT($AA$4&amp;A50+1)),E49:INDIRECT($AA$4&amp;A50+1),$E$2:INDIRECT($AA$4&amp;"$2")),"-")</f>
        <v>-</v>
      </c>
      <c r="E50" s="10" t="str">
        <f ca="1">IF(E$1&gt;$Z$4,"-",IF(COUNTIF($D$3:$D50,E$2)=$Z$3,"Full",SUMIFS($C$3:$C50,$D$3:$D50,E$2)))</f>
        <v>Full</v>
      </c>
      <c r="F50" s="2" t="str">
        <f>IF(F$1&gt;$Z$4,"-",IF(COUNTIF($D$3:$D50,F$2)=$Z$3,"Full",SUMIFS($C$3:$C50,$D$3:$D50,F$2)))</f>
        <v>-</v>
      </c>
      <c r="G50" s="2" t="str">
        <f>IF(G$1&gt;$Z$4,"-",IF(COUNTIF($D$3:$D50,G$2)=$Z$3,"Full",SUMIFS($C$3:$C50,$D$3:$D50,G$2)))</f>
        <v>-</v>
      </c>
      <c r="H50" s="2" t="str">
        <f>IF(H$1&gt;$Z$4,"-",IF(COUNTIF($D$3:$D50,H$2)=$Z$3,"Full",SUMIFS($C$3:$C50,$D$3:$D50,H$2)))</f>
        <v>-</v>
      </c>
      <c r="I50" s="2" t="str">
        <f>IF(I$1&gt;$Z$4,"-",IF(COUNTIF($D$3:$D50,I$2)=$Z$3,"Full",SUMIFS($C$3:$C50,$D$3:$D50,I$2)))</f>
        <v>-</v>
      </c>
      <c r="J50" s="2" t="str">
        <f>IF(J$1&gt;$Z$4,"-",IF(COUNTIF($D$3:$D50,J$2)=$Z$3,"Full",SUMIFS($C$3:$C50,$D$3:$D50,J$2)))</f>
        <v>-</v>
      </c>
      <c r="K50" s="2" t="str">
        <f>IF(K$1&gt;$Z$4,"-",IF(COUNTIF($D$3:$D50,K$2)=$Z$3,"Full",SUMIFS($C$3:$C50,$D$3:$D50,K$2)))</f>
        <v>-</v>
      </c>
      <c r="L50" s="2" t="str">
        <f>IF(L$1&gt;$Z$4,"-",IF(COUNTIF($D$3:$D50,L$2)=$Z$3,"Full",SUMIFS($C$3:$C50,$D$3:$D50,L$2)))</f>
        <v>-</v>
      </c>
      <c r="M50" s="2" t="str">
        <f>IF(M$1&gt;$Z$4,"-",IF(COUNTIF($D$3:$D50,M$2)=$Z$3,"Full",SUMIFS($C$3:$C50,$D$3:$D50,M$2)))</f>
        <v>-</v>
      </c>
      <c r="N50" s="2" t="str">
        <f>IF(N$1&gt;$Z$4,"-",IF(COUNTIF($D$3:$D50,N$2)=$Z$3,"Full",SUMIFS($C$3:$C50,$D$3:$D50,N$2)))</f>
        <v>-</v>
      </c>
      <c r="O50" s="2" t="str">
        <f>IF(O$1&gt;$Z$4,"-",IF(COUNTIF($D$3:$D50,O$2)=$Z$3,"Full",SUMIFS($C$3:$C50,$D$3:$D50,O$2)))</f>
        <v>-</v>
      </c>
      <c r="P50" s="2" t="str">
        <f>IF(P$1&gt;$Z$4,"-",IF(COUNTIF($D$3:$D50,P$2)=$Z$3,"Full",SUMIFS($C$3:$C50,$D$3:$D50,P$2)))</f>
        <v>-</v>
      </c>
      <c r="Q50" s="2" t="str">
        <f>IF(Q$1&gt;$Z$4,"-",IF(COUNTIF($D$3:$D50,Q$2)=$Z$3,"Full",SUMIFS($C$3:$C50,$D$3:$D50,Q$2)))</f>
        <v>-</v>
      </c>
      <c r="R50" s="2" t="str">
        <f>IF(R$1&gt;$Z$4,"-",IF(COUNTIF($D$3:$D50,R$2)=$Z$3,"Full",SUMIFS($C$3:$C50,$D$3:$D50,R$2)))</f>
        <v>-</v>
      </c>
      <c r="S50" s="2" t="str">
        <f>IF(S$1&gt;$Z$4,"-",IF(COUNTIF($D$3:$D50,S$2)=$Z$3,"Full",SUMIFS($C$3:$C50,$D$3:$D50,S$2)))</f>
        <v>-</v>
      </c>
      <c r="T50" s="11" t="str">
        <f>IF(T$1&gt;$Z$4,"-",IF(COUNTIF($D$3:$D50,T$2)=$Z$3,"Full",SUMIFS($C$3:$C50,$D$3:$D50,T$2)))</f>
        <v>-</v>
      </c>
    </row>
    <row r="51" spans="1:39" x14ac:dyDescent="0.25">
      <c r="A51" s="10">
        <f t="shared" si="1"/>
        <v>49</v>
      </c>
      <c r="B51" s="2" t="str">
        <v>Tunisia</v>
      </c>
      <c r="C51" s="11">
        <v>0.92</v>
      </c>
      <c r="D51" s="14" t="str" cm="1">
        <f t="array" aca="1" ref="D51" ca="1">IFERROR(_xlfn.XLOOKUP(MIN(E50:INDIRECT($AA$4&amp;A51+1)),E50:INDIRECT($AA$4&amp;A51+1),$E$2:INDIRECT($AA$4&amp;"$2")),"-")</f>
        <v>-</v>
      </c>
      <c r="E51" s="10" t="str">
        <f ca="1">IF(E$1&gt;$Z$4,"-",IF(COUNTIF($D$3:$D51,E$2)=$Z$3,"Full",SUMIFS($C$3:$C51,$D$3:$D51,E$2)))</f>
        <v>Full</v>
      </c>
      <c r="F51" s="2" t="str">
        <f>IF(F$1&gt;$Z$4,"-",IF(COUNTIF($D$3:$D51,F$2)=$Z$3,"Full",SUMIFS($C$3:$C51,$D$3:$D51,F$2)))</f>
        <v>-</v>
      </c>
      <c r="G51" s="2" t="str">
        <f>IF(G$1&gt;$Z$4,"-",IF(COUNTIF($D$3:$D51,G$2)=$Z$3,"Full",SUMIFS($C$3:$C51,$D$3:$D51,G$2)))</f>
        <v>-</v>
      </c>
      <c r="H51" s="2" t="str">
        <f>IF(H$1&gt;$Z$4,"-",IF(COUNTIF($D$3:$D51,H$2)=$Z$3,"Full",SUMIFS($C$3:$C51,$D$3:$D51,H$2)))</f>
        <v>-</v>
      </c>
      <c r="I51" s="2" t="str">
        <f>IF(I$1&gt;$Z$4,"-",IF(COUNTIF($D$3:$D51,I$2)=$Z$3,"Full",SUMIFS($C$3:$C51,$D$3:$D51,I$2)))</f>
        <v>-</v>
      </c>
      <c r="J51" s="2" t="str">
        <f>IF(J$1&gt;$Z$4,"-",IF(COUNTIF($D$3:$D51,J$2)=$Z$3,"Full",SUMIFS($C$3:$C51,$D$3:$D51,J$2)))</f>
        <v>-</v>
      </c>
      <c r="K51" s="2" t="str">
        <f>IF(K$1&gt;$Z$4,"-",IF(COUNTIF($D$3:$D51,K$2)=$Z$3,"Full",SUMIFS($C$3:$C51,$D$3:$D51,K$2)))</f>
        <v>-</v>
      </c>
      <c r="L51" s="2" t="str">
        <f>IF(L$1&gt;$Z$4,"-",IF(COUNTIF($D$3:$D51,L$2)=$Z$3,"Full",SUMIFS($C$3:$C51,$D$3:$D51,L$2)))</f>
        <v>-</v>
      </c>
      <c r="M51" s="2" t="str">
        <f>IF(M$1&gt;$Z$4,"-",IF(COUNTIF($D$3:$D51,M$2)=$Z$3,"Full",SUMIFS($C$3:$C51,$D$3:$D51,M$2)))</f>
        <v>-</v>
      </c>
      <c r="N51" s="2" t="str">
        <f>IF(N$1&gt;$Z$4,"-",IF(COUNTIF($D$3:$D51,N$2)=$Z$3,"Full",SUMIFS($C$3:$C51,$D$3:$D51,N$2)))</f>
        <v>-</v>
      </c>
      <c r="O51" s="2" t="str">
        <f>IF(O$1&gt;$Z$4,"-",IF(COUNTIF($D$3:$D51,O$2)=$Z$3,"Full",SUMIFS($C$3:$C51,$D$3:$D51,O$2)))</f>
        <v>-</v>
      </c>
      <c r="P51" s="2" t="str">
        <f>IF(P$1&gt;$Z$4,"-",IF(COUNTIF($D$3:$D51,P$2)=$Z$3,"Full",SUMIFS($C$3:$C51,$D$3:$D51,P$2)))</f>
        <v>-</v>
      </c>
      <c r="Q51" s="2" t="str">
        <f>IF(Q$1&gt;$Z$4,"-",IF(COUNTIF($D$3:$D51,Q$2)=$Z$3,"Full",SUMIFS($C$3:$C51,$D$3:$D51,Q$2)))</f>
        <v>-</v>
      </c>
      <c r="R51" s="2" t="str">
        <f>IF(R$1&gt;$Z$4,"-",IF(COUNTIF($D$3:$D51,R$2)=$Z$3,"Full",SUMIFS($C$3:$C51,$D$3:$D51,R$2)))</f>
        <v>-</v>
      </c>
      <c r="S51" s="2" t="str">
        <f>IF(S$1&gt;$Z$4,"-",IF(COUNTIF($D$3:$D51,S$2)=$Z$3,"Full",SUMIFS($C$3:$C51,$D$3:$D51,S$2)))</f>
        <v>-</v>
      </c>
      <c r="T51" s="11" t="str">
        <f>IF(T$1&gt;$Z$4,"-",IF(COUNTIF($D$3:$D51,T$2)=$Z$3,"Full",SUMIFS($C$3:$C51,$D$3:$D51,T$2)))</f>
        <v>-</v>
      </c>
    </row>
    <row r="52" spans="1:39" x14ac:dyDescent="0.25">
      <c r="A52" s="10">
        <f t="shared" si="1"/>
        <v>50</v>
      </c>
      <c r="B52" s="2" t="str">
        <v>Colombia</v>
      </c>
      <c r="C52" s="11">
        <v>0.92</v>
      </c>
      <c r="D52" s="14" t="str" cm="1">
        <f t="array" aca="1" ref="D52" ca="1">IFERROR(_xlfn.XLOOKUP(MIN(E51:INDIRECT($AA$4&amp;A52+1)),E51:INDIRECT($AA$4&amp;A52+1),$E$2:INDIRECT($AA$4&amp;"$2")),"-")</f>
        <v>-</v>
      </c>
      <c r="E52" s="10" t="str">
        <f ca="1">IF(E$1&gt;$Z$4,"-",IF(COUNTIF($D$3:$D52,E$2)=$Z$3,"Full",SUMIFS($C$3:$C52,$D$3:$D52,E$2)))</f>
        <v>Full</v>
      </c>
      <c r="F52" s="2" t="str">
        <f>IF(F$1&gt;$Z$4,"-",IF(COUNTIF($D$3:$D52,F$2)=$Z$3,"Full",SUMIFS($C$3:$C52,$D$3:$D52,F$2)))</f>
        <v>-</v>
      </c>
      <c r="G52" s="2" t="str">
        <f>IF(G$1&gt;$Z$4,"-",IF(COUNTIF($D$3:$D52,G$2)=$Z$3,"Full",SUMIFS($C$3:$C52,$D$3:$D52,G$2)))</f>
        <v>-</v>
      </c>
      <c r="H52" s="2" t="str">
        <f>IF(H$1&gt;$Z$4,"-",IF(COUNTIF($D$3:$D52,H$2)=$Z$3,"Full",SUMIFS($C$3:$C52,$D$3:$D52,H$2)))</f>
        <v>-</v>
      </c>
      <c r="I52" s="2" t="str">
        <f>IF(I$1&gt;$Z$4,"-",IF(COUNTIF($D$3:$D52,I$2)=$Z$3,"Full",SUMIFS($C$3:$C52,$D$3:$D52,I$2)))</f>
        <v>-</v>
      </c>
      <c r="J52" s="2" t="str">
        <f>IF(J$1&gt;$Z$4,"-",IF(COUNTIF($D$3:$D52,J$2)=$Z$3,"Full",SUMIFS($C$3:$C52,$D$3:$D52,J$2)))</f>
        <v>-</v>
      </c>
      <c r="K52" s="2" t="str">
        <f>IF(K$1&gt;$Z$4,"-",IF(COUNTIF($D$3:$D52,K$2)=$Z$3,"Full",SUMIFS($C$3:$C52,$D$3:$D52,K$2)))</f>
        <v>-</v>
      </c>
      <c r="L52" s="2" t="str">
        <f>IF(L$1&gt;$Z$4,"-",IF(COUNTIF($D$3:$D52,L$2)=$Z$3,"Full",SUMIFS($C$3:$C52,$D$3:$D52,L$2)))</f>
        <v>-</v>
      </c>
      <c r="M52" s="2" t="str">
        <f>IF(M$1&gt;$Z$4,"-",IF(COUNTIF($D$3:$D52,M$2)=$Z$3,"Full",SUMIFS($C$3:$C52,$D$3:$D52,M$2)))</f>
        <v>-</v>
      </c>
      <c r="N52" s="2" t="str">
        <f>IF(N$1&gt;$Z$4,"-",IF(COUNTIF($D$3:$D52,N$2)=$Z$3,"Full",SUMIFS($C$3:$C52,$D$3:$D52,N$2)))</f>
        <v>-</v>
      </c>
      <c r="O52" s="2" t="str">
        <f>IF(O$1&gt;$Z$4,"-",IF(COUNTIF($D$3:$D52,O$2)=$Z$3,"Full",SUMIFS($C$3:$C52,$D$3:$D52,O$2)))</f>
        <v>-</v>
      </c>
      <c r="P52" s="2" t="str">
        <f>IF(P$1&gt;$Z$4,"-",IF(COUNTIF($D$3:$D52,P$2)=$Z$3,"Full",SUMIFS($C$3:$C52,$D$3:$D52,P$2)))</f>
        <v>-</v>
      </c>
      <c r="Q52" s="2" t="str">
        <f>IF(Q$1&gt;$Z$4,"-",IF(COUNTIF($D$3:$D52,Q$2)=$Z$3,"Full",SUMIFS($C$3:$C52,$D$3:$D52,Q$2)))</f>
        <v>-</v>
      </c>
      <c r="R52" s="2" t="str">
        <f>IF(R$1&gt;$Z$4,"-",IF(COUNTIF($D$3:$D52,R$2)=$Z$3,"Full",SUMIFS($C$3:$C52,$D$3:$D52,R$2)))</f>
        <v>-</v>
      </c>
      <c r="S52" s="2" t="str">
        <f>IF(S$1&gt;$Z$4,"-",IF(COUNTIF($D$3:$D52,S$2)=$Z$3,"Full",SUMIFS($C$3:$C52,$D$3:$D52,S$2)))</f>
        <v>-</v>
      </c>
      <c r="T52" s="11" t="str">
        <f>IF(T$1&gt;$Z$4,"-",IF(COUNTIF($D$3:$D52,T$2)=$Z$3,"Full",SUMIFS($C$3:$C52,$D$3:$D52,T$2)))</f>
        <v>-</v>
      </c>
    </row>
    <row r="53" spans="1:39" x14ac:dyDescent="0.25">
      <c r="A53" s="10">
        <f t="shared" si="1"/>
        <v>51</v>
      </c>
      <c r="B53" s="2" t="str">
        <v>Indonesia</v>
      </c>
      <c r="C53" s="11">
        <v>0.83</v>
      </c>
      <c r="D53" s="14" t="str" cm="1">
        <f t="array" aca="1" ref="D53" ca="1">IFERROR(_xlfn.XLOOKUP(MIN(E52:INDIRECT($AA$4&amp;A53+1)),E52:INDIRECT($AA$4&amp;A53+1),$E$2:INDIRECT($AA$4&amp;"$2")),"-")</f>
        <v>-</v>
      </c>
      <c r="E53" s="10" t="str">
        <f ca="1">IF(E$1&gt;$Z$4,"-",IF(COUNTIF($D$3:$D53,E$2)=$Z$3,"Full",SUMIFS($C$3:$C53,$D$3:$D53,E$2)))</f>
        <v>Full</v>
      </c>
      <c r="F53" s="2" t="str">
        <f>IF(F$1&gt;$Z$4,"-",IF(COUNTIF($D$3:$D53,F$2)=$Z$3,"Full",SUMIFS($C$3:$C53,$D$3:$D53,F$2)))</f>
        <v>-</v>
      </c>
      <c r="G53" s="2" t="str">
        <f>IF(G$1&gt;$Z$4,"-",IF(COUNTIF($D$3:$D53,G$2)=$Z$3,"Full",SUMIFS($C$3:$C53,$D$3:$D53,G$2)))</f>
        <v>-</v>
      </c>
      <c r="H53" s="2" t="str">
        <f>IF(H$1&gt;$Z$4,"-",IF(COUNTIF($D$3:$D53,H$2)=$Z$3,"Full",SUMIFS($C$3:$C53,$D$3:$D53,H$2)))</f>
        <v>-</v>
      </c>
      <c r="I53" s="2" t="str">
        <f>IF(I$1&gt;$Z$4,"-",IF(COUNTIF($D$3:$D53,I$2)=$Z$3,"Full",SUMIFS($C$3:$C53,$D$3:$D53,I$2)))</f>
        <v>-</v>
      </c>
      <c r="J53" s="2" t="str">
        <f>IF(J$1&gt;$Z$4,"-",IF(COUNTIF($D$3:$D53,J$2)=$Z$3,"Full",SUMIFS($C$3:$C53,$D$3:$D53,J$2)))</f>
        <v>-</v>
      </c>
      <c r="K53" s="2" t="str">
        <f>IF(K$1&gt;$Z$4,"-",IF(COUNTIF($D$3:$D53,K$2)=$Z$3,"Full",SUMIFS($C$3:$C53,$D$3:$D53,K$2)))</f>
        <v>-</v>
      </c>
      <c r="L53" s="2" t="str">
        <f>IF(L$1&gt;$Z$4,"-",IF(COUNTIF($D$3:$D53,L$2)=$Z$3,"Full",SUMIFS($C$3:$C53,$D$3:$D53,L$2)))</f>
        <v>-</v>
      </c>
      <c r="M53" s="2" t="str">
        <f>IF(M$1&gt;$Z$4,"-",IF(COUNTIF($D$3:$D53,M$2)=$Z$3,"Full",SUMIFS($C$3:$C53,$D$3:$D53,M$2)))</f>
        <v>-</v>
      </c>
      <c r="N53" s="2" t="str">
        <f>IF(N$1&gt;$Z$4,"-",IF(COUNTIF($D$3:$D53,N$2)=$Z$3,"Full",SUMIFS($C$3:$C53,$D$3:$D53,N$2)))</f>
        <v>-</v>
      </c>
      <c r="O53" s="2" t="str">
        <f>IF(O$1&gt;$Z$4,"-",IF(COUNTIF($D$3:$D53,O$2)=$Z$3,"Full",SUMIFS($C$3:$C53,$D$3:$D53,O$2)))</f>
        <v>-</v>
      </c>
      <c r="P53" s="2" t="str">
        <f>IF(P$1&gt;$Z$4,"-",IF(COUNTIF($D$3:$D53,P$2)=$Z$3,"Full",SUMIFS($C$3:$C53,$D$3:$D53,P$2)))</f>
        <v>-</v>
      </c>
      <c r="Q53" s="2" t="str">
        <f>IF(Q$1&gt;$Z$4,"-",IF(COUNTIF($D$3:$D53,Q$2)=$Z$3,"Full",SUMIFS($C$3:$C53,$D$3:$D53,Q$2)))</f>
        <v>-</v>
      </c>
      <c r="R53" s="2" t="str">
        <f>IF(R$1&gt;$Z$4,"-",IF(COUNTIF($D$3:$D53,R$2)=$Z$3,"Full",SUMIFS($C$3:$C53,$D$3:$D53,R$2)))</f>
        <v>-</v>
      </c>
      <c r="S53" s="2" t="str">
        <f>IF(S$1&gt;$Z$4,"-",IF(COUNTIF($D$3:$D53,S$2)=$Z$3,"Full",SUMIFS($C$3:$C53,$D$3:$D53,S$2)))</f>
        <v>-</v>
      </c>
      <c r="T53" s="11" t="str">
        <f>IF(T$1&gt;$Z$4,"-",IF(COUNTIF($D$3:$D53,T$2)=$Z$3,"Full",SUMIFS($C$3:$C53,$D$3:$D53,T$2)))</f>
        <v>-</v>
      </c>
    </row>
    <row r="54" spans="1:39" x14ac:dyDescent="0.25">
      <c r="A54" s="10">
        <f t="shared" si="1"/>
        <v>52</v>
      </c>
      <c r="B54" s="2" t="str">
        <v>Fiji</v>
      </c>
      <c r="C54" s="11">
        <v>0.75</v>
      </c>
      <c r="D54" s="14" t="str" cm="1">
        <f t="array" aca="1" ref="D54" ca="1">IFERROR(_xlfn.XLOOKUP(MIN(E53:INDIRECT($AA$4&amp;A54+1)),E53:INDIRECT($AA$4&amp;A54+1),$E$2:INDIRECT($AA$4&amp;"$2")),"-")</f>
        <v>-</v>
      </c>
      <c r="E54" s="10" t="str">
        <f ca="1">IF(E$1&gt;$Z$4,"-",IF(COUNTIF($D$3:$D54,E$2)=$Z$3,"Full",SUMIFS($C$3:$C54,$D$3:$D54,E$2)))</f>
        <v>Full</v>
      </c>
      <c r="F54" s="2" t="str">
        <f>IF(F$1&gt;$Z$4,"-",IF(COUNTIF($D$3:$D54,F$2)=$Z$3,"Full",SUMIFS($C$3:$C54,$D$3:$D54,F$2)))</f>
        <v>-</v>
      </c>
      <c r="G54" s="2" t="str">
        <f>IF(G$1&gt;$Z$4,"-",IF(COUNTIF($D$3:$D54,G$2)=$Z$3,"Full",SUMIFS($C$3:$C54,$D$3:$D54,G$2)))</f>
        <v>-</v>
      </c>
      <c r="H54" s="2" t="str">
        <f>IF(H$1&gt;$Z$4,"-",IF(COUNTIF($D$3:$D54,H$2)=$Z$3,"Full",SUMIFS($C$3:$C54,$D$3:$D54,H$2)))</f>
        <v>-</v>
      </c>
      <c r="I54" s="2" t="str">
        <f>IF(I$1&gt;$Z$4,"-",IF(COUNTIF($D$3:$D54,I$2)=$Z$3,"Full",SUMIFS($C$3:$C54,$D$3:$D54,I$2)))</f>
        <v>-</v>
      </c>
      <c r="J54" s="2" t="str">
        <f>IF(J$1&gt;$Z$4,"-",IF(COUNTIF($D$3:$D54,J$2)=$Z$3,"Full",SUMIFS($C$3:$C54,$D$3:$D54,J$2)))</f>
        <v>-</v>
      </c>
      <c r="K54" s="2" t="str">
        <f>IF(K$1&gt;$Z$4,"-",IF(COUNTIF($D$3:$D54,K$2)=$Z$3,"Full",SUMIFS($C$3:$C54,$D$3:$D54,K$2)))</f>
        <v>-</v>
      </c>
      <c r="L54" s="2" t="str">
        <f>IF(L$1&gt;$Z$4,"-",IF(COUNTIF($D$3:$D54,L$2)=$Z$3,"Full",SUMIFS($C$3:$C54,$D$3:$D54,L$2)))</f>
        <v>-</v>
      </c>
      <c r="M54" s="2" t="str">
        <f>IF(M$1&gt;$Z$4,"-",IF(COUNTIF($D$3:$D54,M$2)=$Z$3,"Full",SUMIFS($C$3:$C54,$D$3:$D54,M$2)))</f>
        <v>-</v>
      </c>
      <c r="N54" s="2" t="str">
        <f>IF(N$1&gt;$Z$4,"-",IF(COUNTIF($D$3:$D54,N$2)=$Z$3,"Full",SUMIFS($C$3:$C54,$D$3:$D54,N$2)))</f>
        <v>-</v>
      </c>
      <c r="O54" s="2" t="str">
        <f>IF(O$1&gt;$Z$4,"-",IF(COUNTIF($D$3:$D54,O$2)=$Z$3,"Full",SUMIFS($C$3:$C54,$D$3:$D54,O$2)))</f>
        <v>-</v>
      </c>
      <c r="P54" s="2" t="str">
        <f>IF(P$1&gt;$Z$4,"-",IF(COUNTIF($D$3:$D54,P$2)=$Z$3,"Full",SUMIFS($C$3:$C54,$D$3:$D54,P$2)))</f>
        <v>-</v>
      </c>
      <c r="Q54" s="2" t="str">
        <f>IF(Q$1&gt;$Z$4,"-",IF(COUNTIF($D$3:$D54,Q$2)=$Z$3,"Full",SUMIFS($C$3:$C54,$D$3:$D54,Q$2)))</f>
        <v>-</v>
      </c>
      <c r="R54" s="2" t="str">
        <f>IF(R$1&gt;$Z$4,"-",IF(COUNTIF($D$3:$D54,R$2)=$Z$3,"Full",SUMIFS($C$3:$C54,$D$3:$D54,R$2)))</f>
        <v>-</v>
      </c>
      <c r="S54" s="2" t="str">
        <f>IF(S$1&gt;$Z$4,"-",IF(COUNTIF($D$3:$D54,S$2)=$Z$3,"Full",SUMIFS($C$3:$C54,$D$3:$D54,S$2)))</f>
        <v>-</v>
      </c>
      <c r="T54" s="11" t="str">
        <f>IF(T$1&gt;$Z$4,"-",IF(COUNTIF($D$3:$D54,T$2)=$Z$3,"Full",SUMIFS($C$3:$C54,$D$3:$D54,T$2)))</f>
        <v>-</v>
      </c>
    </row>
    <row r="55" spans="1:39" x14ac:dyDescent="0.25">
      <c r="A55" s="10">
        <f t="shared" si="1"/>
        <v>53</v>
      </c>
      <c r="B55" s="2" t="str">
        <v>Latvia</v>
      </c>
      <c r="C55" s="11">
        <v>0.75</v>
      </c>
      <c r="D55" s="14" t="str" cm="1">
        <f t="array" aca="1" ref="D55" ca="1">IFERROR(_xlfn.XLOOKUP(MIN(E54:INDIRECT($AA$4&amp;A55+1)),E54:INDIRECT($AA$4&amp;A55+1),$E$2:INDIRECT($AA$4&amp;"$2")),"-")</f>
        <v>-</v>
      </c>
      <c r="E55" s="10" t="str">
        <f ca="1">IF(E$1&gt;$Z$4,"-",IF(COUNTIF($D$3:$D55,E$2)=$Z$3,"Full",SUMIFS($C$3:$C55,$D$3:$D55,E$2)))</f>
        <v>Full</v>
      </c>
      <c r="F55" s="2" t="str">
        <f>IF(F$1&gt;$Z$4,"-",IF(COUNTIF($D$3:$D55,F$2)=$Z$3,"Full",SUMIFS($C$3:$C55,$D$3:$D55,F$2)))</f>
        <v>-</v>
      </c>
      <c r="G55" s="2" t="str">
        <f>IF(G$1&gt;$Z$4,"-",IF(COUNTIF($D$3:$D55,G$2)=$Z$3,"Full",SUMIFS($C$3:$C55,$D$3:$D55,G$2)))</f>
        <v>-</v>
      </c>
      <c r="H55" s="2" t="str">
        <f>IF(H$1&gt;$Z$4,"-",IF(COUNTIF($D$3:$D55,H$2)=$Z$3,"Full",SUMIFS($C$3:$C55,$D$3:$D55,H$2)))</f>
        <v>-</v>
      </c>
      <c r="I55" s="2" t="str">
        <f>IF(I$1&gt;$Z$4,"-",IF(COUNTIF($D$3:$D55,I$2)=$Z$3,"Full",SUMIFS($C$3:$C55,$D$3:$D55,I$2)))</f>
        <v>-</v>
      </c>
      <c r="J55" s="2" t="str">
        <f>IF(J$1&gt;$Z$4,"-",IF(COUNTIF($D$3:$D55,J$2)=$Z$3,"Full",SUMIFS($C$3:$C55,$D$3:$D55,J$2)))</f>
        <v>-</v>
      </c>
      <c r="K55" s="2" t="str">
        <f>IF(K$1&gt;$Z$4,"-",IF(COUNTIF($D$3:$D55,K$2)=$Z$3,"Full",SUMIFS($C$3:$C55,$D$3:$D55,K$2)))</f>
        <v>-</v>
      </c>
      <c r="L55" s="2" t="str">
        <f>IF(L$1&gt;$Z$4,"-",IF(COUNTIF($D$3:$D55,L$2)=$Z$3,"Full",SUMIFS($C$3:$C55,$D$3:$D55,L$2)))</f>
        <v>-</v>
      </c>
      <c r="M55" s="2" t="str">
        <f>IF(M$1&gt;$Z$4,"-",IF(COUNTIF($D$3:$D55,M$2)=$Z$3,"Full",SUMIFS($C$3:$C55,$D$3:$D55,M$2)))</f>
        <v>-</v>
      </c>
      <c r="N55" s="2" t="str">
        <f>IF(N$1&gt;$Z$4,"-",IF(COUNTIF($D$3:$D55,N$2)=$Z$3,"Full",SUMIFS($C$3:$C55,$D$3:$D55,N$2)))</f>
        <v>-</v>
      </c>
      <c r="O55" s="2" t="str">
        <f>IF(O$1&gt;$Z$4,"-",IF(COUNTIF($D$3:$D55,O$2)=$Z$3,"Full",SUMIFS($C$3:$C55,$D$3:$D55,O$2)))</f>
        <v>-</v>
      </c>
      <c r="P55" s="2" t="str">
        <f>IF(P$1&gt;$Z$4,"-",IF(COUNTIF($D$3:$D55,P$2)=$Z$3,"Full",SUMIFS($C$3:$C55,$D$3:$D55,P$2)))</f>
        <v>-</v>
      </c>
      <c r="Q55" s="2" t="str">
        <f>IF(Q$1&gt;$Z$4,"-",IF(COUNTIF($D$3:$D55,Q$2)=$Z$3,"Full",SUMIFS($C$3:$C55,$D$3:$D55,Q$2)))</f>
        <v>-</v>
      </c>
      <c r="R55" s="2" t="str">
        <f>IF(R$1&gt;$Z$4,"-",IF(COUNTIF($D$3:$D55,R$2)=$Z$3,"Full",SUMIFS($C$3:$C55,$D$3:$D55,R$2)))</f>
        <v>-</v>
      </c>
      <c r="S55" s="2" t="str">
        <f>IF(S$1&gt;$Z$4,"-",IF(COUNTIF($D$3:$D55,S$2)=$Z$3,"Full",SUMIFS($C$3:$C55,$D$3:$D55,S$2)))</f>
        <v>-</v>
      </c>
      <c r="T55" s="11" t="str">
        <f>IF(T$1&gt;$Z$4,"-",IF(COUNTIF($D$3:$D55,T$2)=$Z$3,"Full",SUMIFS($C$3:$C55,$D$3:$D55,T$2)))</f>
        <v>-</v>
      </c>
    </row>
    <row r="56" spans="1:39" ht="15.75" thickBot="1" x14ac:dyDescent="0.3">
      <c r="A56" s="10">
        <f t="shared" si="1"/>
        <v>54</v>
      </c>
      <c r="B56" s="2" t="str">
        <v>Puerto Rico</v>
      </c>
      <c r="C56" s="11">
        <v>0.75</v>
      </c>
      <c r="D56" s="14" t="str" cm="1">
        <f t="array" aca="1" ref="D56" ca="1">IFERROR(_xlfn.XLOOKUP(MIN(E55:INDIRECT($AA$4&amp;A56+1)),E55:INDIRECT($AA$4&amp;A56+1),$E$2:INDIRECT($AA$4&amp;"$2")),"-")</f>
        <v>-</v>
      </c>
      <c r="E56" s="10" t="str">
        <f ca="1">IF(E$1&gt;$Z$4,"-",IF(COUNTIF($D$3:$D56,E$2)=$Z$3,"Full",SUMIFS($C$3:$C56,$D$3:$D56,E$2)))</f>
        <v>Full</v>
      </c>
      <c r="F56" s="2" t="str">
        <f>IF(F$1&gt;$Z$4,"-",IF(COUNTIF($D$3:$D56,F$2)=$Z$3,"Full",SUMIFS($C$3:$C56,$D$3:$D56,F$2)))</f>
        <v>-</v>
      </c>
      <c r="G56" s="2" t="str">
        <f>IF(G$1&gt;$Z$4,"-",IF(COUNTIF($D$3:$D56,G$2)=$Z$3,"Full",SUMIFS($C$3:$C56,$D$3:$D56,G$2)))</f>
        <v>-</v>
      </c>
      <c r="H56" s="2" t="str">
        <f>IF(H$1&gt;$Z$4,"-",IF(COUNTIF($D$3:$D56,H$2)=$Z$3,"Full",SUMIFS($C$3:$C56,$D$3:$D56,H$2)))</f>
        <v>-</v>
      </c>
      <c r="I56" s="2" t="str">
        <f>IF(I$1&gt;$Z$4,"-",IF(COUNTIF($D$3:$D56,I$2)=$Z$3,"Full",SUMIFS($C$3:$C56,$D$3:$D56,I$2)))</f>
        <v>-</v>
      </c>
      <c r="J56" s="2" t="str">
        <f>IF(J$1&gt;$Z$4,"-",IF(COUNTIF($D$3:$D56,J$2)=$Z$3,"Full",SUMIFS($C$3:$C56,$D$3:$D56,J$2)))</f>
        <v>-</v>
      </c>
      <c r="K56" s="2" t="str">
        <f>IF(K$1&gt;$Z$4,"-",IF(COUNTIF($D$3:$D56,K$2)=$Z$3,"Full",SUMIFS($C$3:$C56,$D$3:$D56,K$2)))</f>
        <v>-</v>
      </c>
      <c r="L56" s="2" t="str">
        <f>IF(L$1&gt;$Z$4,"-",IF(COUNTIF($D$3:$D56,L$2)=$Z$3,"Full",SUMIFS($C$3:$C56,$D$3:$D56,L$2)))</f>
        <v>-</v>
      </c>
      <c r="M56" s="2" t="str">
        <f>IF(M$1&gt;$Z$4,"-",IF(COUNTIF($D$3:$D56,M$2)=$Z$3,"Full",SUMIFS($C$3:$C56,$D$3:$D56,M$2)))</f>
        <v>-</v>
      </c>
      <c r="N56" s="2" t="str">
        <f>IF(N$1&gt;$Z$4,"-",IF(COUNTIF($D$3:$D56,N$2)=$Z$3,"Full",SUMIFS($C$3:$C56,$D$3:$D56,N$2)))</f>
        <v>-</v>
      </c>
      <c r="O56" s="2" t="str">
        <f>IF(O$1&gt;$Z$4,"-",IF(COUNTIF($D$3:$D56,O$2)=$Z$3,"Full",SUMIFS($C$3:$C56,$D$3:$D56,O$2)))</f>
        <v>-</v>
      </c>
      <c r="P56" s="2" t="str">
        <f>IF(P$1&gt;$Z$4,"-",IF(COUNTIF($D$3:$D56,P$2)=$Z$3,"Full",SUMIFS($C$3:$C56,$D$3:$D56,P$2)))</f>
        <v>-</v>
      </c>
      <c r="Q56" s="2" t="str">
        <f>IF(Q$1&gt;$Z$4,"-",IF(COUNTIF($D$3:$D56,Q$2)=$Z$3,"Full",SUMIFS($C$3:$C56,$D$3:$D56,Q$2)))</f>
        <v>-</v>
      </c>
      <c r="R56" s="2" t="str">
        <f>IF(R$1&gt;$Z$4,"-",IF(COUNTIF($D$3:$D56,R$2)=$Z$3,"Full",SUMIFS($C$3:$C56,$D$3:$D56,R$2)))</f>
        <v>-</v>
      </c>
      <c r="S56" s="2" t="str">
        <f>IF(S$1&gt;$Z$4,"-",IF(COUNTIF($D$3:$D56,S$2)=$Z$3,"Full",SUMIFS($C$3:$C56,$D$3:$D56,S$2)))</f>
        <v>-</v>
      </c>
      <c r="T56" s="11" t="str">
        <f>IF(T$1&gt;$Z$4,"-",IF(COUNTIF($D$3:$D56,T$2)=$Z$3,"Full",SUMIFS($C$3:$C56,$D$3:$D56,T$2)))</f>
        <v>-</v>
      </c>
      <c r="AC56" s="2">
        <v>1</v>
      </c>
      <c r="AD56" s="2">
        <v>2</v>
      </c>
      <c r="AE56" s="2">
        <v>3</v>
      </c>
      <c r="AF56" s="2">
        <v>4</v>
      </c>
      <c r="AG56" s="2">
        <v>5</v>
      </c>
      <c r="AH56" s="2">
        <v>6</v>
      </c>
      <c r="AI56" s="2">
        <v>7</v>
      </c>
      <c r="AJ56" s="2">
        <v>8</v>
      </c>
      <c r="AK56" s="2">
        <v>9</v>
      </c>
      <c r="AL56" s="2">
        <v>10</v>
      </c>
    </row>
    <row r="57" spans="1:39" ht="15.75" thickBot="1" x14ac:dyDescent="0.3">
      <c r="A57" s="10">
        <f t="shared" si="1"/>
        <v>55</v>
      </c>
      <c r="B57" s="2" t="str">
        <v>Venezuela</v>
      </c>
      <c r="C57" s="11">
        <v>0.67</v>
      </c>
      <c r="D57" s="14" t="str" cm="1">
        <f t="array" aca="1" ref="D57" ca="1">IFERROR(_xlfn.XLOOKUP(MIN(E56:INDIRECT($AA$4&amp;A57+1)),E56:INDIRECT($AA$4&amp;A57+1),$E$2:INDIRECT($AA$4&amp;"$2")),"-")</f>
        <v>-</v>
      </c>
      <c r="E57" s="10" t="str">
        <f ca="1">IF(E$1&gt;$Z$4,"-",IF(COUNTIF($D$3:$D57,E$2)=$Z$3,"Full",SUMIFS($C$3:$C57,$D$3:$D57,E$2)))</f>
        <v>Full</v>
      </c>
      <c r="F57" s="2" t="str">
        <f>IF(F$1&gt;$Z$4,"-",IF(COUNTIF($D$3:$D57,F$2)=$Z$3,"Full",SUMIFS($C$3:$C57,$D$3:$D57,F$2)))</f>
        <v>-</v>
      </c>
      <c r="G57" s="2" t="str">
        <f>IF(G$1&gt;$Z$4,"-",IF(COUNTIF($D$3:$D57,G$2)=$Z$3,"Full",SUMIFS($C$3:$C57,$D$3:$D57,G$2)))</f>
        <v>-</v>
      </c>
      <c r="H57" s="2" t="str">
        <f>IF(H$1&gt;$Z$4,"-",IF(COUNTIF($D$3:$D57,H$2)=$Z$3,"Full",SUMIFS($C$3:$C57,$D$3:$D57,H$2)))</f>
        <v>-</v>
      </c>
      <c r="I57" s="2" t="str">
        <f>IF(I$1&gt;$Z$4,"-",IF(COUNTIF($D$3:$D57,I$2)=$Z$3,"Full",SUMIFS($C$3:$C57,$D$3:$D57,I$2)))</f>
        <v>-</v>
      </c>
      <c r="J57" s="2" t="str">
        <f>IF(J$1&gt;$Z$4,"-",IF(COUNTIF($D$3:$D57,J$2)=$Z$3,"Full",SUMIFS($C$3:$C57,$D$3:$D57,J$2)))</f>
        <v>-</v>
      </c>
      <c r="K57" s="2" t="str">
        <f>IF(K$1&gt;$Z$4,"-",IF(COUNTIF($D$3:$D57,K$2)=$Z$3,"Full",SUMIFS($C$3:$C57,$D$3:$D57,K$2)))</f>
        <v>-</v>
      </c>
      <c r="L57" s="2" t="str">
        <f>IF(L$1&gt;$Z$4,"-",IF(COUNTIF($D$3:$D57,L$2)=$Z$3,"Full",SUMIFS($C$3:$C57,$D$3:$D57,L$2)))</f>
        <v>-</v>
      </c>
      <c r="M57" s="2" t="str">
        <f>IF(M$1&gt;$Z$4,"-",IF(COUNTIF($D$3:$D57,M$2)=$Z$3,"Full",SUMIFS($C$3:$C57,$D$3:$D57,M$2)))</f>
        <v>-</v>
      </c>
      <c r="N57" s="2" t="str">
        <f>IF(N$1&gt;$Z$4,"-",IF(COUNTIF($D$3:$D57,N$2)=$Z$3,"Full",SUMIFS($C$3:$C57,$D$3:$D57,N$2)))</f>
        <v>-</v>
      </c>
      <c r="O57" s="2" t="str">
        <f>IF(O$1&gt;$Z$4,"-",IF(COUNTIF($D$3:$D57,O$2)=$Z$3,"Full",SUMIFS($C$3:$C57,$D$3:$D57,O$2)))</f>
        <v>-</v>
      </c>
      <c r="P57" s="2" t="str">
        <f>IF(P$1&gt;$Z$4,"-",IF(COUNTIF($D$3:$D57,P$2)=$Z$3,"Full",SUMIFS($C$3:$C57,$D$3:$D57,P$2)))</f>
        <v>-</v>
      </c>
      <c r="Q57" s="2" t="str">
        <f>IF(Q$1&gt;$Z$4,"-",IF(COUNTIF($D$3:$D57,Q$2)=$Z$3,"Full",SUMIFS($C$3:$C57,$D$3:$D57,Q$2)))</f>
        <v>-</v>
      </c>
      <c r="R57" s="2" t="str">
        <f>IF(R$1&gt;$Z$4,"-",IF(COUNTIF($D$3:$D57,R$2)=$Z$3,"Full",SUMIFS($C$3:$C57,$D$3:$D57,R$2)))</f>
        <v>-</v>
      </c>
      <c r="S57" s="2" t="str">
        <f>IF(S$1&gt;$Z$4,"-",IF(COUNTIF($D$3:$D57,S$2)=$Z$3,"Full",SUMIFS($C$3:$C57,$D$3:$D57,S$2)))</f>
        <v>-</v>
      </c>
      <c r="T57" s="11" t="str">
        <f>IF(T$1&gt;$Z$4,"-",IF(COUNTIF($D$3:$D57,T$2)=$Z$3,"Full",SUMIFS($C$3:$C57,$D$3:$D57,T$2)))</f>
        <v>-</v>
      </c>
      <c r="AC57" s="27">
        <f>_xlfn.XLOOKUP($Z$59,$Z$35:$BD$35,$Z24:$BD24)</f>
        <v>15.95</v>
      </c>
      <c r="AD57" s="28" t="str">
        <f>_xlfn.XLOOKUP($Z$59,$Z$35:$BD$35,$Z25:$BD25)</f>
        <v>-</v>
      </c>
      <c r="AE57" s="28" t="str">
        <f>_xlfn.XLOOKUP($Z$59,$Z$35:$BD$35,$Z26:$BD26)</f>
        <v>-</v>
      </c>
      <c r="AF57" s="28" t="str">
        <f>_xlfn.XLOOKUP($Z$59,$Z$35:$BD$35,$Z27:$BD27)</f>
        <v>-</v>
      </c>
      <c r="AG57" s="28" t="str">
        <f>_xlfn.XLOOKUP($Z$59,$Z$35:$BD$35,$Z28:$BD28)</f>
        <v>-</v>
      </c>
      <c r="AH57" s="28" t="str">
        <f>_xlfn.XLOOKUP($Z$59,$Z$35:$BD$35,$Z29:$BD29)</f>
        <v>-</v>
      </c>
      <c r="AI57" s="28" t="str">
        <f>_xlfn.XLOOKUP($Z$59,$Z$35:$BD$35,$Z30:$BD30)</f>
        <v>-</v>
      </c>
      <c r="AJ57" s="28" t="str">
        <f>_xlfn.XLOOKUP($Z$59,$Z$35:$BD$35,$Z31:$BD31)</f>
        <v>-</v>
      </c>
      <c r="AK57" s="28" t="str">
        <f>_xlfn.XLOOKUP($Z$59,$Z$35:$BD$35,$Z32:$BD32)</f>
        <v>-</v>
      </c>
      <c r="AL57" s="29" t="str">
        <f>_xlfn.XLOOKUP($Z$59,$Z$35:$BD$35,$Z33:$BD33)</f>
        <v>-</v>
      </c>
    </row>
    <row r="58" spans="1:39" x14ac:dyDescent="0.25">
      <c r="A58" s="10">
        <f t="shared" si="1"/>
        <v>56</v>
      </c>
      <c r="B58" s="2" t="str">
        <v>Azerbaijan</v>
      </c>
      <c r="C58" s="11">
        <v>0.67</v>
      </c>
      <c r="D58" s="14" t="str" cm="1">
        <f t="array" aca="1" ref="D58" ca="1">IFERROR(_xlfn.XLOOKUP(MIN(E57:INDIRECT($AA$4&amp;A58+1)),E57:INDIRECT($AA$4&amp;A58+1),$E$2:INDIRECT($AA$4&amp;"$2")),"-")</f>
        <v>-</v>
      </c>
      <c r="E58" s="10" t="str">
        <f ca="1">IF(E$1&gt;$Z$4,"-",IF(COUNTIF($D$3:$D58,E$2)=$Z$3,"Full",SUMIFS($C$3:$C58,$D$3:$D58,E$2)))</f>
        <v>Full</v>
      </c>
      <c r="F58" s="2" t="str">
        <f>IF(F$1&gt;$Z$4,"-",IF(COUNTIF($D$3:$D58,F$2)=$Z$3,"Full",SUMIFS($C$3:$C58,$D$3:$D58,F$2)))</f>
        <v>-</v>
      </c>
      <c r="G58" s="2" t="str">
        <f>IF(G$1&gt;$Z$4,"-",IF(COUNTIF($D$3:$D58,G$2)=$Z$3,"Full",SUMIFS($C$3:$C58,$D$3:$D58,G$2)))</f>
        <v>-</v>
      </c>
      <c r="H58" s="2" t="str">
        <f>IF(H$1&gt;$Z$4,"-",IF(COUNTIF($D$3:$D58,H$2)=$Z$3,"Full",SUMIFS($C$3:$C58,$D$3:$D58,H$2)))</f>
        <v>-</v>
      </c>
      <c r="I58" s="2" t="str">
        <f>IF(I$1&gt;$Z$4,"-",IF(COUNTIF($D$3:$D58,I$2)=$Z$3,"Full",SUMIFS($C$3:$C58,$D$3:$D58,I$2)))</f>
        <v>-</v>
      </c>
      <c r="J58" s="2" t="str">
        <f>IF(J$1&gt;$Z$4,"-",IF(COUNTIF($D$3:$D58,J$2)=$Z$3,"Full",SUMIFS($C$3:$C58,$D$3:$D58,J$2)))</f>
        <v>-</v>
      </c>
      <c r="K58" s="2" t="str">
        <f>IF(K$1&gt;$Z$4,"-",IF(COUNTIF($D$3:$D58,K$2)=$Z$3,"Full",SUMIFS($C$3:$C58,$D$3:$D58,K$2)))</f>
        <v>-</v>
      </c>
      <c r="L58" s="2" t="str">
        <f>IF(L$1&gt;$Z$4,"-",IF(COUNTIF($D$3:$D58,L$2)=$Z$3,"Full",SUMIFS($C$3:$C58,$D$3:$D58,L$2)))</f>
        <v>-</v>
      </c>
      <c r="M58" s="2" t="str">
        <f>IF(M$1&gt;$Z$4,"-",IF(COUNTIF($D$3:$D58,M$2)=$Z$3,"Full",SUMIFS($C$3:$C58,$D$3:$D58,M$2)))</f>
        <v>-</v>
      </c>
      <c r="N58" s="2" t="str">
        <f>IF(N$1&gt;$Z$4,"-",IF(COUNTIF($D$3:$D58,N$2)=$Z$3,"Full",SUMIFS($C$3:$C58,$D$3:$D58,N$2)))</f>
        <v>-</v>
      </c>
      <c r="O58" s="2" t="str">
        <f>IF(O$1&gt;$Z$4,"-",IF(COUNTIF($D$3:$D58,O$2)=$Z$3,"Full",SUMIFS($C$3:$C58,$D$3:$D58,O$2)))</f>
        <v>-</v>
      </c>
      <c r="P58" s="2" t="str">
        <f>IF(P$1&gt;$Z$4,"-",IF(COUNTIF($D$3:$D58,P$2)=$Z$3,"Full",SUMIFS($C$3:$C58,$D$3:$D58,P$2)))</f>
        <v>-</v>
      </c>
      <c r="Q58" s="2" t="str">
        <f>IF(Q$1&gt;$Z$4,"-",IF(COUNTIF($D$3:$D58,Q$2)=$Z$3,"Full",SUMIFS($C$3:$C58,$D$3:$D58,Q$2)))</f>
        <v>-</v>
      </c>
      <c r="R58" s="2" t="str">
        <f>IF(R$1&gt;$Z$4,"-",IF(COUNTIF($D$3:$D58,R$2)=$Z$3,"Full",SUMIFS($C$3:$C58,$D$3:$D58,R$2)))</f>
        <v>-</v>
      </c>
      <c r="S58" s="2" t="str">
        <f>IF(S$1&gt;$Z$4,"-",IF(COUNTIF($D$3:$D58,S$2)=$Z$3,"Full",SUMIFS($C$3:$C58,$D$3:$D58,S$2)))</f>
        <v>-</v>
      </c>
      <c r="T58" s="11" t="str">
        <f>IF(T$1&gt;$Z$4,"-",IF(COUNTIF($D$3:$D58,T$2)=$Z$3,"Full",SUMIFS($C$3:$C58,$D$3:$D58,T$2)))</f>
        <v>-</v>
      </c>
      <c r="W58" s="2" t="s">
        <v>119</v>
      </c>
      <c r="X58" s="2">
        <f>_xlfn.XLOOKUP(Z58,$Z$35:$BD$35,$Z$36:$BD$36)</f>
        <v>1</v>
      </c>
      <c r="Y58" s="2" t="s">
        <v>121</v>
      </c>
      <c r="Z58" s="2" cm="1">
        <f t="array" ref="Z58">MIN(_xlfn._xlws.FILTER(Z35:BD35,Z35:BD35&gt;0))</f>
        <v>15.95</v>
      </c>
      <c r="AA58" s="2">
        <v>1</v>
      </c>
      <c r="AB58" s="30">
        <f t="shared" ref="AB58:AB67" si="151">_xlfn.XLOOKUP($Z$58,$Z$35:$BD$35,Z24:BD24)</f>
        <v>15.95</v>
      </c>
      <c r="AC58" s="10" t="str">
        <f>IFERROR(ABS(IF($AB58&gt;AC$57,"-",IF(ABS($Z$61-(AC$57-$AB58))&gt;=$Z$61,"-",$Z$61-(AC$57-$AB58)))),"-")</f>
        <v>-</v>
      </c>
      <c r="AD58" s="2" t="str">
        <f t="shared" ref="AD58:AL67" si="152">IFERROR(ABS(IF($AB58&gt;AD$57,"-",IF(ABS($Z$61-(AD$57-$AB58))&gt;=$Z$61,"-",$Z$61-(AD$57-$AB58)))),"-")</f>
        <v>-</v>
      </c>
      <c r="AE58" s="2" t="str">
        <f t="shared" si="152"/>
        <v>-</v>
      </c>
      <c r="AF58" s="2" t="str">
        <f t="shared" si="152"/>
        <v>-</v>
      </c>
      <c r="AG58" s="2" t="str">
        <f t="shared" si="152"/>
        <v>-</v>
      </c>
      <c r="AH58" s="2" t="str">
        <f t="shared" si="152"/>
        <v>-</v>
      </c>
      <c r="AI58" s="2" t="str">
        <f t="shared" si="152"/>
        <v>-</v>
      </c>
      <c r="AJ58" s="2" t="str">
        <f t="shared" si="152"/>
        <v>-</v>
      </c>
      <c r="AK58" s="2" t="str">
        <f t="shared" si="152"/>
        <v>-</v>
      </c>
      <c r="AL58" s="11" t="str">
        <f t="shared" si="152"/>
        <v>-</v>
      </c>
      <c r="AM58" s="2" t="str" cm="1">
        <f t="array" ref="AM58">IFERROR(MIN(_xlfn._xlws.FILTER(AC58:AL58,AC58:AL58&lt;&gt;$AC$70)),"-")</f>
        <v>-</v>
      </c>
    </row>
    <row r="59" spans="1:39" x14ac:dyDescent="0.25">
      <c r="A59" s="10">
        <f t="shared" si="1"/>
        <v>57</v>
      </c>
      <c r="B59" s="2" t="str">
        <v>India</v>
      </c>
      <c r="C59" s="11">
        <v>0.57999999999999996</v>
      </c>
      <c r="D59" s="14" t="str" cm="1">
        <f t="array" aca="1" ref="D59" ca="1">IFERROR(_xlfn.XLOOKUP(MIN(E58:INDIRECT($AA$4&amp;A59+1)),E58:INDIRECT($AA$4&amp;A59+1),$E$2:INDIRECT($AA$4&amp;"$2")),"-")</f>
        <v>-</v>
      </c>
      <c r="E59" s="10" t="str">
        <f ca="1">IF(E$1&gt;$Z$4,"-",IF(COUNTIF($D$3:$D59,E$2)=$Z$3,"Full",SUMIFS($C$3:$C59,$D$3:$D59,E$2)))</f>
        <v>Full</v>
      </c>
      <c r="F59" s="2" t="str">
        <f>IF(F$1&gt;$Z$4,"-",IF(COUNTIF($D$3:$D59,F$2)=$Z$3,"Full",SUMIFS($C$3:$C59,$D$3:$D59,F$2)))</f>
        <v>-</v>
      </c>
      <c r="G59" s="2" t="str">
        <f>IF(G$1&gt;$Z$4,"-",IF(COUNTIF($D$3:$D59,G$2)=$Z$3,"Full",SUMIFS($C$3:$C59,$D$3:$D59,G$2)))</f>
        <v>-</v>
      </c>
      <c r="H59" s="2" t="str">
        <f>IF(H$1&gt;$Z$4,"-",IF(COUNTIF($D$3:$D59,H$2)=$Z$3,"Full",SUMIFS($C$3:$C59,$D$3:$D59,H$2)))</f>
        <v>-</v>
      </c>
      <c r="I59" s="2" t="str">
        <f>IF(I$1&gt;$Z$4,"-",IF(COUNTIF($D$3:$D59,I$2)=$Z$3,"Full",SUMIFS($C$3:$C59,$D$3:$D59,I$2)))</f>
        <v>-</v>
      </c>
      <c r="J59" s="2" t="str">
        <f>IF(J$1&gt;$Z$4,"-",IF(COUNTIF($D$3:$D59,J$2)=$Z$3,"Full",SUMIFS($C$3:$C59,$D$3:$D59,J$2)))</f>
        <v>-</v>
      </c>
      <c r="K59" s="2" t="str">
        <f>IF(K$1&gt;$Z$4,"-",IF(COUNTIF($D$3:$D59,K$2)=$Z$3,"Full",SUMIFS($C$3:$C59,$D$3:$D59,K$2)))</f>
        <v>-</v>
      </c>
      <c r="L59" s="2" t="str">
        <f>IF(L$1&gt;$Z$4,"-",IF(COUNTIF($D$3:$D59,L$2)=$Z$3,"Full",SUMIFS($C$3:$C59,$D$3:$D59,L$2)))</f>
        <v>-</v>
      </c>
      <c r="M59" s="2" t="str">
        <f>IF(M$1&gt;$Z$4,"-",IF(COUNTIF($D$3:$D59,M$2)=$Z$3,"Full",SUMIFS($C$3:$C59,$D$3:$D59,M$2)))</f>
        <v>-</v>
      </c>
      <c r="N59" s="2" t="str">
        <f>IF(N$1&gt;$Z$4,"-",IF(COUNTIF($D$3:$D59,N$2)=$Z$3,"Full",SUMIFS($C$3:$C59,$D$3:$D59,N$2)))</f>
        <v>-</v>
      </c>
      <c r="O59" s="2" t="str">
        <f>IF(O$1&gt;$Z$4,"-",IF(COUNTIF($D$3:$D59,O$2)=$Z$3,"Full",SUMIFS($C$3:$C59,$D$3:$D59,O$2)))</f>
        <v>-</v>
      </c>
      <c r="P59" s="2" t="str">
        <f>IF(P$1&gt;$Z$4,"-",IF(COUNTIF($D$3:$D59,P$2)=$Z$3,"Full",SUMIFS($C$3:$C59,$D$3:$D59,P$2)))</f>
        <v>-</v>
      </c>
      <c r="Q59" s="2" t="str">
        <f>IF(Q$1&gt;$Z$4,"-",IF(COUNTIF($D$3:$D59,Q$2)=$Z$3,"Full",SUMIFS($C$3:$C59,$D$3:$D59,Q$2)))</f>
        <v>-</v>
      </c>
      <c r="R59" s="2" t="str">
        <f>IF(R$1&gt;$Z$4,"-",IF(COUNTIF($D$3:$D59,R$2)=$Z$3,"Full",SUMIFS($C$3:$C59,$D$3:$D59,R$2)))</f>
        <v>-</v>
      </c>
      <c r="S59" s="2" t="str">
        <f>IF(S$1&gt;$Z$4,"-",IF(COUNTIF($D$3:$D59,S$2)=$Z$3,"Full",SUMIFS($C$3:$C59,$D$3:$D59,S$2)))</f>
        <v>-</v>
      </c>
      <c r="T59" s="11" t="str">
        <f>IF(T$1&gt;$Z$4,"-",IF(COUNTIF($D$3:$D59,T$2)=$Z$3,"Full",SUMIFS($C$3:$C59,$D$3:$D59,T$2)))</f>
        <v>-</v>
      </c>
      <c r="W59" s="2" t="s">
        <v>120</v>
      </c>
      <c r="X59" s="2">
        <f>_xlfn.XLOOKUP(Z59,$Z$35:$BD$35,$Z$36:$BD$36)</f>
        <v>1</v>
      </c>
      <c r="Y59" s="2" t="s">
        <v>122</v>
      </c>
      <c r="Z59" s="2" cm="1">
        <f t="array" ref="Z59">MAX(_xlfn._xlws.FILTER(Z35:BD35,Z35:BD35&gt;0))</f>
        <v>15.95</v>
      </c>
      <c r="AA59" s="2">
        <v>2</v>
      </c>
      <c r="AB59" s="14" t="str">
        <f t="shared" si="151"/>
        <v>-</v>
      </c>
      <c r="AC59" s="10" t="str">
        <f t="shared" ref="AC59:AC67" si="153">IFERROR(ABS(IF($AB59&gt;AC$57,"-",IF(ABS($Z$61-(AC$57-$AB59))&gt;=$Z$61,"-",$Z$61-(AC$57-$AB59)))),"-")</f>
        <v>-</v>
      </c>
      <c r="AD59" s="2" t="str">
        <f t="shared" si="152"/>
        <v>-</v>
      </c>
      <c r="AE59" s="2" t="str">
        <f t="shared" si="152"/>
        <v>-</v>
      </c>
      <c r="AF59" s="2" t="str">
        <f t="shared" si="152"/>
        <v>-</v>
      </c>
      <c r="AG59" s="2" t="str">
        <f t="shared" si="152"/>
        <v>-</v>
      </c>
      <c r="AH59" s="2" t="str">
        <f t="shared" si="152"/>
        <v>-</v>
      </c>
      <c r="AI59" s="2" t="str">
        <f t="shared" si="152"/>
        <v>-</v>
      </c>
      <c r="AJ59" s="2" t="str">
        <f t="shared" si="152"/>
        <v>-</v>
      </c>
      <c r="AK59" s="2" t="str">
        <f t="shared" si="152"/>
        <v>-</v>
      </c>
      <c r="AL59" s="11" t="str">
        <f t="shared" si="152"/>
        <v>-</v>
      </c>
      <c r="AM59" s="2" t="str" cm="1">
        <f t="array" ref="AM59">IFERROR(MIN(_xlfn._xlws.FILTER(AC59:AL59,AC59:AL59&lt;&gt;$AC$70)),"-")</f>
        <v>-</v>
      </c>
    </row>
    <row r="60" spans="1:39" x14ac:dyDescent="0.25">
      <c r="A60" s="10">
        <f t="shared" si="1"/>
        <v>58</v>
      </c>
      <c r="B60" s="2" t="str">
        <v>Portugal</v>
      </c>
      <c r="C60" s="11">
        <v>0.57999999999999996</v>
      </c>
      <c r="D60" s="14" t="str" cm="1">
        <f t="array" aca="1" ref="D60" ca="1">IFERROR(_xlfn.XLOOKUP(MIN(E59:INDIRECT($AA$4&amp;A60+1)),E59:INDIRECT($AA$4&amp;A60+1),$E$2:INDIRECT($AA$4&amp;"$2")),"-")</f>
        <v>-</v>
      </c>
      <c r="E60" s="10" t="str">
        <f ca="1">IF(E$1&gt;$Z$4,"-",IF(COUNTIF($D$3:$D60,E$2)=$Z$3,"Full",SUMIFS($C$3:$C60,$D$3:$D60,E$2)))</f>
        <v>Full</v>
      </c>
      <c r="F60" s="2" t="str">
        <f>IF(F$1&gt;$Z$4,"-",IF(COUNTIF($D$3:$D60,F$2)=$Z$3,"Full",SUMIFS($C$3:$C60,$D$3:$D60,F$2)))</f>
        <v>-</v>
      </c>
      <c r="G60" s="2" t="str">
        <f>IF(G$1&gt;$Z$4,"-",IF(COUNTIF($D$3:$D60,G$2)=$Z$3,"Full",SUMIFS($C$3:$C60,$D$3:$D60,G$2)))</f>
        <v>-</v>
      </c>
      <c r="H60" s="2" t="str">
        <f>IF(H$1&gt;$Z$4,"-",IF(COUNTIF($D$3:$D60,H$2)=$Z$3,"Full",SUMIFS($C$3:$C60,$D$3:$D60,H$2)))</f>
        <v>-</v>
      </c>
      <c r="I60" s="2" t="str">
        <f>IF(I$1&gt;$Z$4,"-",IF(COUNTIF($D$3:$D60,I$2)=$Z$3,"Full",SUMIFS($C$3:$C60,$D$3:$D60,I$2)))</f>
        <v>-</v>
      </c>
      <c r="J60" s="2" t="str">
        <f>IF(J$1&gt;$Z$4,"-",IF(COUNTIF($D$3:$D60,J$2)=$Z$3,"Full",SUMIFS($C$3:$C60,$D$3:$D60,J$2)))</f>
        <v>-</v>
      </c>
      <c r="K60" s="2" t="str">
        <f>IF(K$1&gt;$Z$4,"-",IF(COUNTIF($D$3:$D60,K$2)=$Z$3,"Full",SUMIFS($C$3:$C60,$D$3:$D60,K$2)))</f>
        <v>-</v>
      </c>
      <c r="L60" s="2" t="str">
        <f>IF(L$1&gt;$Z$4,"-",IF(COUNTIF($D$3:$D60,L$2)=$Z$3,"Full",SUMIFS($C$3:$C60,$D$3:$D60,L$2)))</f>
        <v>-</v>
      </c>
      <c r="M60" s="2" t="str">
        <f>IF(M$1&gt;$Z$4,"-",IF(COUNTIF($D$3:$D60,M$2)=$Z$3,"Full",SUMIFS($C$3:$C60,$D$3:$D60,M$2)))</f>
        <v>-</v>
      </c>
      <c r="N60" s="2" t="str">
        <f>IF(N$1&gt;$Z$4,"-",IF(COUNTIF($D$3:$D60,N$2)=$Z$3,"Full",SUMIFS($C$3:$C60,$D$3:$D60,N$2)))</f>
        <v>-</v>
      </c>
      <c r="O60" s="2" t="str">
        <f>IF(O$1&gt;$Z$4,"-",IF(COUNTIF($D$3:$D60,O$2)=$Z$3,"Full",SUMIFS($C$3:$C60,$D$3:$D60,O$2)))</f>
        <v>-</v>
      </c>
      <c r="P60" s="2" t="str">
        <f>IF(P$1&gt;$Z$4,"-",IF(COUNTIF($D$3:$D60,P$2)=$Z$3,"Full",SUMIFS($C$3:$C60,$D$3:$D60,P$2)))</f>
        <v>-</v>
      </c>
      <c r="Q60" s="2" t="str">
        <f>IF(Q$1&gt;$Z$4,"-",IF(COUNTIF($D$3:$D60,Q$2)=$Z$3,"Full",SUMIFS($C$3:$C60,$D$3:$D60,Q$2)))</f>
        <v>-</v>
      </c>
      <c r="R60" s="2" t="str">
        <f>IF(R$1&gt;$Z$4,"-",IF(COUNTIF($D$3:$D60,R$2)=$Z$3,"Full",SUMIFS($C$3:$C60,$D$3:$D60,R$2)))</f>
        <v>-</v>
      </c>
      <c r="S60" s="2" t="str">
        <f>IF(S$1&gt;$Z$4,"-",IF(COUNTIF($D$3:$D60,S$2)=$Z$3,"Full",SUMIFS($C$3:$C60,$D$3:$D60,S$2)))</f>
        <v>-</v>
      </c>
      <c r="T60" s="11" t="str">
        <f>IF(T$1&gt;$Z$4,"-",IF(COUNTIF($D$3:$D60,T$2)=$Z$3,"Full",SUMIFS($C$3:$C60,$D$3:$D60,T$2)))</f>
        <v>-</v>
      </c>
      <c r="Y60" s="2" t="s">
        <v>123</v>
      </c>
      <c r="Z60" s="2">
        <f>Z59-Z58</f>
        <v>0</v>
      </c>
      <c r="AA60" s="2">
        <v>3</v>
      </c>
      <c r="AB60" s="14" t="str">
        <f t="shared" si="151"/>
        <v>-</v>
      </c>
      <c r="AC60" s="10" t="str">
        <f t="shared" si="153"/>
        <v>-</v>
      </c>
      <c r="AD60" s="2" t="str">
        <f t="shared" si="152"/>
        <v>-</v>
      </c>
      <c r="AE60" s="2" t="str">
        <f t="shared" si="152"/>
        <v>-</v>
      </c>
      <c r="AF60" s="2" t="str">
        <f t="shared" si="152"/>
        <v>-</v>
      </c>
      <c r="AG60" s="2" t="str">
        <f t="shared" si="152"/>
        <v>-</v>
      </c>
      <c r="AH60" s="2" t="str">
        <f t="shared" si="152"/>
        <v>-</v>
      </c>
      <c r="AI60" s="2" t="str">
        <f t="shared" si="152"/>
        <v>-</v>
      </c>
      <c r="AJ60" s="2" t="str">
        <f t="shared" si="152"/>
        <v>-</v>
      </c>
      <c r="AK60" s="2" t="str">
        <f t="shared" si="152"/>
        <v>-</v>
      </c>
      <c r="AL60" s="11" t="str">
        <f t="shared" si="152"/>
        <v>-</v>
      </c>
      <c r="AM60" s="2" t="str" cm="1">
        <f t="array" ref="AM60">IFERROR(MIN(_xlfn._xlws.FILTER(AC60:AL60,AC60:AL60&lt;&gt;$AC$70)),"-")</f>
        <v>-</v>
      </c>
    </row>
    <row r="61" spans="1:39" x14ac:dyDescent="0.25">
      <c r="A61" s="10">
        <f t="shared" si="1"/>
        <v>59</v>
      </c>
      <c r="B61" s="2" t="str">
        <v>Estonia</v>
      </c>
      <c r="C61" s="11">
        <v>0.57999999999999996</v>
      </c>
      <c r="D61" s="14" t="str" cm="1">
        <f t="array" aca="1" ref="D61" ca="1">IFERROR(_xlfn.XLOOKUP(MIN(E60:INDIRECT($AA$4&amp;A61+1)),E60:INDIRECT($AA$4&amp;A61+1),$E$2:INDIRECT($AA$4&amp;"$2")),"-")</f>
        <v>-</v>
      </c>
      <c r="E61" s="10" t="str">
        <f ca="1">IF(E$1&gt;$Z$4,"-",IF(COUNTIF($D$3:$D61,E$2)=$Z$3,"Full",SUMIFS($C$3:$C61,$D$3:$D61,E$2)))</f>
        <v>Full</v>
      </c>
      <c r="F61" s="2" t="str">
        <f>IF(F$1&gt;$Z$4,"-",IF(COUNTIF($D$3:$D61,F$2)=$Z$3,"Full",SUMIFS($C$3:$C61,$D$3:$D61,F$2)))</f>
        <v>-</v>
      </c>
      <c r="G61" s="2" t="str">
        <f>IF(G$1&gt;$Z$4,"-",IF(COUNTIF($D$3:$D61,G$2)=$Z$3,"Full",SUMIFS($C$3:$C61,$D$3:$D61,G$2)))</f>
        <v>-</v>
      </c>
      <c r="H61" s="2" t="str">
        <f>IF(H$1&gt;$Z$4,"-",IF(COUNTIF($D$3:$D61,H$2)=$Z$3,"Full",SUMIFS($C$3:$C61,$D$3:$D61,H$2)))</f>
        <v>-</v>
      </c>
      <c r="I61" s="2" t="str">
        <f>IF(I$1&gt;$Z$4,"-",IF(COUNTIF($D$3:$D61,I$2)=$Z$3,"Full",SUMIFS($C$3:$C61,$D$3:$D61,I$2)))</f>
        <v>-</v>
      </c>
      <c r="J61" s="2" t="str">
        <f>IF(J$1&gt;$Z$4,"-",IF(COUNTIF($D$3:$D61,J$2)=$Z$3,"Full",SUMIFS($C$3:$C61,$D$3:$D61,J$2)))</f>
        <v>-</v>
      </c>
      <c r="K61" s="2" t="str">
        <f>IF(K$1&gt;$Z$4,"-",IF(COUNTIF($D$3:$D61,K$2)=$Z$3,"Full",SUMIFS($C$3:$C61,$D$3:$D61,K$2)))</f>
        <v>-</v>
      </c>
      <c r="L61" s="2" t="str">
        <f>IF(L$1&gt;$Z$4,"-",IF(COUNTIF($D$3:$D61,L$2)=$Z$3,"Full",SUMIFS($C$3:$C61,$D$3:$D61,L$2)))</f>
        <v>-</v>
      </c>
      <c r="M61" s="2" t="str">
        <f>IF(M$1&gt;$Z$4,"-",IF(COUNTIF($D$3:$D61,M$2)=$Z$3,"Full",SUMIFS($C$3:$C61,$D$3:$D61,M$2)))</f>
        <v>-</v>
      </c>
      <c r="N61" s="2" t="str">
        <f>IF(N$1&gt;$Z$4,"-",IF(COUNTIF($D$3:$D61,N$2)=$Z$3,"Full",SUMIFS($C$3:$C61,$D$3:$D61,N$2)))</f>
        <v>-</v>
      </c>
      <c r="O61" s="2" t="str">
        <f>IF(O$1&gt;$Z$4,"-",IF(COUNTIF($D$3:$D61,O$2)=$Z$3,"Full",SUMIFS($C$3:$C61,$D$3:$D61,O$2)))</f>
        <v>-</v>
      </c>
      <c r="P61" s="2" t="str">
        <f>IF(P$1&gt;$Z$4,"-",IF(COUNTIF($D$3:$D61,P$2)=$Z$3,"Full",SUMIFS($C$3:$C61,$D$3:$D61,P$2)))</f>
        <v>-</v>
      </c>
      <c r="Q61" s="2" t="str">
        <f>IF(Q$1&gt;$Z$4,"-",IF(COUNTIF($D$3:$D61,Q$2)=$Z$3,"Full",SUMIFS($C$3:$C61,$D$3:$D61,Q$2)))</f>
        <v>-</v>
      </c>
      <c r="R61" s="2" t="str">
        <f>IF(R$1&gt;$Z$4,"-",IF(COUNTIF($D$3:$D61,R$2)=$Z$3,"Full",SUMIFS($C$3:$C61,$D$3:$D61,R$2)))</f>
        <v>-</v>
      </c>
      <c r="S61" s="2" t="str">
        <f>IF(S$1&gt;$Z$4,"-",IF(COUNTIF($D$3:$D61,S$2)=$Z$3,"Full",SUMIFS($C$3:$C61,$D$3:$D61,S$2)))</f>
        <v>-</v>
      </c>
      <c r="T61" s="11" t="str">
        <f>IF(T$1&gt;$Z$4,"-",IF(COUNTIF($D$3:$D61,T$2)=$Z$3,"Full",SUMIFS($C$3:$C61,$D$3:$D61,T$2)))</f>
        <v>-</v>
      </c>
      <c r="Y61" s="2" t="s">
        <v>124</v>
      </c>
      <c r="Z61" s="2">
        <f>Z60/2</f>
        <v>0</v>
      </c>
      <c r="AA61" s="2">
        <v>4</v>
      </c>
      <c r="AB61" s="14" t="str">
        <f t="shared" si="151"/>
        <v>-</v>
      </c>
      <c r="AC61" s="10" t="str">
        <f t="shared" si="153"/>
        <v>-</v>
      </c>
      <c r="AD61" s="2" t="str">
        <f t="shared" si="152"/>
        <v>-</v>
      </c>
      <c r="AE61" s="2" t="str">
        <f t="shared" si="152"/>
        <v>-</v>
      </c>
      <c r="AF61" s="2" t="str">
        <f t="shared" si="152"/>
        <v>-</v>
      </c>
      <c r="AG61" s="2" t="str">
        <f t="shared" si="152"/>
        <v>-</v>
      </c>
      <c r="AH61" s="2" t="str">
        <f t="shared" si="152"/>
        <v>-</v>
      </c>
      <c r="AI61" s="2" t="str">
        <f t="shared" si="152"/>
        <v>-</v>
      </c>
      <c r="AJ61" s="2" t="str">
        <f t="shared" si="152"/>
        <v>-</v>
      </c>
      <c r="AK61" s="2" t="str">
        <f t="shared" si="152"/>
        <v>-</v>
      </c>
      <c r="AL61" s="11" t="str">
        <f t="shared" si="152"/>
        <v>-</v>
      </c>
      <c r="AM61" s="2" t="str" cm="1">
        <f t="array" ref="AM61">IFERROR(MIN(_xlfn._xlws.FILTER(AC61:AL61,AC61:AL61&lt;&gt;$AC$70)),"-")</f>
        <v>-</v>
      </c>
    </row>
    <row r="62" spans="1:39" x14ac:dyDescent="0.25">
      <c r="A62" s="10">
        <f t="shared" si="1"/>
        <v>60</v>
      </c>
      <c r="B62" s="2" t="str">
        <v>Hong Kong</v>
      </c>
      <c r="C62" s="11">
        <v>0.5</v>
      </c>
      <c r="D62" s="14" t="str" cm="1">
        <f t="array" aca="1" ref="D62" ca="1">IFERROR(_xlfn.XLOOKUP(MIN(E61:INDIRECT($AA$4&amp;A62+1)),E61:INDIRECT($AA$4&amp;A62+1),$E$2:INDIRECT($AA$4&amp;"$2")),"-")</f>
        <v>-</v>
      </c>
      <c r="E62" s="10" t="str">
        <f ca="1">IF(E$1&gt;$Z$4,"-",IF(COUNTIF($D$3:$D62,E$2)=$Z$3,"Full",SUMIFS($C$3:$C62,$D$3:$D62,E$2)))</f>
        <v>Full</v>
      </c>
      <c r="F62" s="2" t="str">
        <f>IF(F$1&gt;$Z$4,"-",IF(COUNTIF($D$3:$D62,F$2)=$Z$3,"Full",SUMIFS($C$3:$C62,$D$3:$D62,F$2)))</f>
        <v>-</v>
      </c>
      <c r="G62" s="2" t="str">
        <f>IF(G$1&gt;$Z$4,"-",IF(COUNTIF($D$3:$D62,G$2)=$Z$3,"Full",SUMIFS($C$3:$C62,$D$3:$D62,G$2)))</f>
        <v>-</v>
      </c>
      <c r="H62" s="2" t="str">
        <f>IF(H$1&gt;$Z$4,"-",IF(COUNTIF($D$3:$D62,H$2)=$Z$3,"Full",SUMIFS($C$3:$C62,$D$3:$D62,H$2)))</f>
        <v>-</v>
      </c>
      <c r="I62" s="2" t="str">
        <f>IF(I$1&gt;$Z$4,"-",IF(COUNTIF($D$3:$D62,I$2)=$Z$3,"Full",SUMIFS($C$3:$C62,$D$3:$D62,I$2)))</f>
        <v>-</v>
      </c>
      <c r="J62" s="2" t="str">
        <f>IF(J$1&gt;$Z$4,"-",IF(COUNTIF($D$3:$D62,J$2)=$Z$3,"Full",SUMIFS($C$3:$C62,$D$3:$D62,J$2)))</f>
        <v>-</v>
      </c>
      <c r="K62" s="2" t="str">
        <f>IF(K$1&gt;$Z$4,"-",IF(COUNTIF($D$3:$D62,K$2)=$Z$3,"Full",SUMIFS($C$3:$C62,$D$3:$D62,K$2)))</f>
        <v>-</v>
      </c>
      <c r="L62" s="2" t="str">
        <f>IF(L$1&gt;$Z$4,"-",IF(COUNTIF($D$3:$D62,L$2)=$Z$3,"Full",SUMIFS($C$3:$C62,$D$3:$D62,L$2)))</f>
        <v>-</v>
      </c>
      <c r="M62" s="2" t="str">
        <f>IF(M$1&gt;$Z$4,"-",IF(COUNTIF($D$3:$D62,M$2)=$Z$3,"Full",SUMIFS($C$3:$C62,$D$3:$D62,M$2)))</f>
        <v>-</v>
      </c>
      <c r="N62" s="2" t="str">
        <f>IF(N$1&gt;$Z$4,"-",IF(COUNTIF($D$3:$D62,N$2)=$Z$3,"Full",SUMIFS($C$3:$C62,$D$3:$D62,N$2)))</f>
        <v>-</v>
      </c>
      <c r="O62" s="2" t="str">
        <f>IF(O$1&gt;$Z$4,"-",IF(COUNTIF($D$3:$D62,O$2)=$Z$3,"Full",SUMIFS($C$3:$C62,$D$3:$D62,O$2)))</f>
        <v>-</v>
      </c>
      <c r="P62" s="2" t="str">
        <f>IF(P$1&gt;$Z$4,"-",IF(COUNTIF($D$3:$D62,P$2)=$Z$3,"Full",SUMIFS($C$3:$C62,$D$3:$D62,P$2)))</f>
        <v>-</v>
      </c>
      <c r="Q62" s="2" t="str">
        <f>IF(Q$1&gt;$Z$4,"-",IF(COUNTIF($D$3:$D62,Q$2)=$Z$3,"Full",SUMIFS($C$3:$C62,$D$3:$D62,Q$2)))</f>
        <v>-</v>
      </c>
      <c r="R62" s="2" t="str">
        <f>IF(R$1&gt;$Z$4,"-",IF(COUNTIF($D$3:$D62,R$2)=$Z$3,"Full",SUMIFS($C$3:$C62,$D$3:$D62,R$2)))</f>
        <v>-</v>
      </c>
      <c r="S62" s="2" t="str">
        <f>IF(S$1&gt;$Z$4,"-",IF(COUNTIF($D$3:$D62,S$2)=$Z$3,"Full",SUMIFS($C$3:$C62,$D$3:$D62,S$2)))</f>
        <v>-</v>
      </c>
      <c r="T62" s="11" t="str">
        <f>IF(T$1&gt;$Z$4,"-",IF(COUNTIF($D$3:$D62,T$2)=$Z$3,"Full",SUMIFS($C$3:$C62,$D$3:$D62,T$2)))</f>
        <v>-</v>
      </c>
      <c r="Y62" s="2" t="s">
        <v>125</v>
      </c>
      <c r="Z62" s="2">
        <f>IFERROR(MIN(AC58:AL67),0)</f>
        <v>0</v>
      </c>
      <c r="AA62" s="2">
        <v>5</v>
      </c>
      <c r="AB62" s="14" t="str">
        <f t="shared" si="151"/>
        <v>-</v>
      </c>
      <c r="AC62" s="10" t="str">
        <f t="shared" si="153"/>
        <v>-</v>
      </c>
      <c r="AD62" s="2" t="str">
        <f t="shared" si="152"/>
        <v>-</v>
      </c>
      <c r="AE62" s="2" t="str">
        <f t="shared" si="152"/>
        <v>-</v>
      </c>
      <c r="AF62" s="2" t="str">
        <f t="shared" si="152"/>
        <v>-</v>
      </c>
      <c r="AG62" s="2" t="str">
        <f t="shared" si="152"/>
        <v>-</v>
      </c>
      <c r="AH62" s="2" t="str">
        <f t="shared" si="152"/>
        <v>-</v>
      </c>
      <c r="AI62" s="2" t="str">
        <f t="shared" si="152"/>
        <v>-</v>
      </c>
      <c r="AJ62" s="2" t="str">
        <f t="shared" si="152"/>
        <v>-</v>
      </c>
      <c r="AK62" s="2" t="str">
        <f t="shared" si="152"/>
        <v>-</v>
      </c>
      <c r="AL62" s="11" t="str">
        <f t="shared" si="152"/>
        <v>-</v>
      </c>
      <c r="AM62" s="2" t="str" cm="1">
        <f t="array" ref="AM62">IFERROR(MIN(_xlfn._xlws.FILTER(AC62:AL62,AC62:AL62&lt;&gt;$AC$70)),"-")</f>
        <v>-</v>
      </c>
    </row>
    <row r="63" spans="1:39" x14ac:dyDescent="0.25">
      <c r="A63" s="10">
        <f t="shared" si="1"/>
        <v>61</v>
      </c>
      <c r="B63" s="2" t="str">
        <v>Philippines</v>
      </c>
      <c r="C63" s="11">
        <v>0.5</v>
      </c>
      <c r="D63" s="14" t="str" cm="1">
        <f t="array" aca="1" ref="D63" ca="1">IFERROR(_xlfn.XLOOKUP(MIN(E62:INDIRECT($AA$4&amp;A63+1)),E62:INDIRECT($AA$4&amp;A63+1),$E$2:INDIRECT($AA$4&amp;"$2")),"-")</f>
        <v>-</v>
      </c>
      <c r="E63" s="10" t="str">
        <f ca="1">IF(E$1&gt;$Z$4,"-",IF(COUNTIF($D$3:$D63,E$2)=$Z$3,"Full",SUMIFS($C$3:$C63,$D$3:$D63,E$2)))</f>
        <v>Full</v>
      </c>
      <c r="F63" s="2" t="str">
        <f>IF(F$1&gt;$Z$4,"-",IF(COUNTIF($D$3:$D63,F$2)=$Z$3,"Full",SUMIFS($C$3:$C63,$D$3:$D63,F$2)))</f>
        <v>-</v>
      </c>
      <c r="G63" s="2" t="str">
        <f>IF(G$1&gt;$Z$4,"-",IF(COUNTIF($D$3:$D63,G$2)=$Z$3,"Full",SUMIFS($C$3:$C63,$D$3:$D63,G$2)))</f>
        <v>-</v>
      </c>
      <c r="H63" s="2" t="str">
        <f>IF(H$1&gt;$Z$4,"-",IF(COUNTIF($D$3:$D63,H$2)=$Z$3,"Full",SUMIFS($C$3:$C63,$D$3:$D63,H$2)))</f>
        <v>-</v>
      </c>
      <c r="I63" s="2" t="str">
        <f>IF(I$1&gt;$Z$4,"-",IF(COUNTIF($D$3:$D63,I$2)=$Z$3,"Full",SUMIFS($C$3:$C63,$D$3:$D63,I$2)))</f>
        <v>-</v>
      </c>
      <c r="J63" s="2" t="str">
        <f>IF(J$1&gt;$Z$4,"-",IF(COUNTIF($D$3:$D63,J$2)=$Z$3,"Full",SUMIFS($C$3:$C63,$D$3:$D63,J$2)))</f>
        <v>-</v>
      </c>
      <c r="K63" s="2" t="str">
        <f>IF(K$1&gt;$Z$4,"-",IF(COUNTIF($D$3:$D63,K$2)=$Z$3,"Full",SUMIFS($C$3:$C63,$D$3:$D63,K$2)))</f>
        <v>-</v>
      </c>
      <c r="L63" s="2" t="str">
        <f>IF(L$1&gt;$Z$4,"-",IF(COUNTIF($D$3:$D63,L$2)=$Z$3,"Full",SUMIFS($C$3:$C63,$D$3:$D63,L$2)))</f>
        <v>-</v>
      </c>
      <c r="M63" s="2" t="str">
        <f>IF(M$1&gt;$Z$4,"-",IF(COUNTIF($D$3:$D63,M$2)=$Z$3,"Full",SUMIFS($C$3:$C63,$D$3:$D63,M$2)))</f>
        <v>-</v>
      </c>
      <c r="N63" s="2" t="str">
        <f>IF(N$1&gt;$Z$4,"-",IF(COUNTIF($D$3:$D63,N$2)=$Z$3,"Full",SUMIFS($C$3:$C63,$D$3:$D63,N$2)))</f>
        <v>-</v>
      </c>
      <c r="O63" s="2" t="str">
        <f>IF(O$1&gt;$Z$4,"-",IF(COUNTIF($D$3:$D63,O$2)=$Z$3,"Full",SUMIFS($C$3:$C63,$D$3:$D63,O$2)))</f>
        <v>-</v>
      </c>
      <c r="P63" s="2" t="str">
        <f>IF(P$1&gt;$Z$4,"-",IF(COUNTIF($D$3:$D63,P$2)=$Z$3,"Full",SUMIFS($C$3:$C63,$D$3:$D63,P$2)))</f>
        <v>-</v>
      </c>
      <c r="Q63" s="2" t="str">
        <f>IF(Q$1&gt;$Z$4,"-",IF(COUNTIF($D$3:$D63,Q$2)=$Z$3,"Full",SUMIFS($C$3:$C63,$D$3:$D63,Q$2)))</f>
        <v>-</v>
      </c>
      <c r="R63" s="2" t="str">
        <f>IF(R$1&gt;$Z$4,"-",IF(COUNTIF($D$3:$D63,R$2)=$Z$3,"Full",SUMIFS($C$3:$C63,$D$3:$D63,R$2)))</f>
        <v>-</v>
      </c>
      <c r="S63" s="2" t="str">
        <f>IF(S$1&gt;$Z$4,"-",IF(COUNTIF($D$3:$D63,S$2)=$Z$3,"Full",SUMIFS($C$3:$C63,$D$3:$D63,S$2)))</f>
        <v>-</v>
      </c>
      <c r="T63" s="11" t="str">
        <f>IF(T$1&gt;$Z$4,"-",IF(COUNTIF($D$3:$D63,T$2)=$Z$3,"Full",SUMIFS($C$3:$C63,$D$3:$D63,T$2)))</f>
        <v>-</v>
      </c>
      <c r="W63" s="2" t="s">
        <v>128</v>
      </c>
      <c r="X63" s="2">
        <f>_xlfn.XLOOKUP(Z63,AC57:AL57,AC56:AL56)</f>
        <v>2</v>
      </c>
      <c r="Y63" s="2" t="s">
        <v>126</v>
      </c>
      <c r="Z63" s="2" t="str">
        <f>IFERROR(_xlfn.XLOOKUP(Z62,AC68:AL68,AC57:AL57),"-")</f>
        <v>-</v>
      </c>
      <c r="AA63" s="2">
        <v>6</v>
      </c>
      <c r="AB63" s="14" t="str">
        <f t="shared" si="151"/>
        <v>-</v>
      </c>
      <c r="AC63" s="10" t="str">
        <f t="shared" si="153"/>
        <v>-</v>
      </c>
      <c r="AD63" s="2" t="str">
        <f t="shared" si="152"/>
        <v>-</v>
      </c>
      <c r="AE63" s="2" t="str">
        <f t="shared" si="152"/>
        <v>-</v>
      </c>
      <c r="AF63" s="2" t="str">
        <f t="shared" si="152"/>
        <v>-</v>
      </c>
      <c r="AG63" s="2" t="str">
        <f t="shared" si="152"/>
        <v>-</v>
      </c>
      <c r="AH63" s="2" t="str">
        <f t="shared" si="152"/>
        <v>-</v>
      </c>
      <c r="AI63" s="2" t="str">
        <f t="shared" si="152"/>
        <v>-</v>
      </c>
      <c r="AJ63" s="2" t="str">
        <f t="shared" si="152"/>
        <v>-</v>
      </c>
      <c r="AK63" s="2" t="str">
        <f t="shared" si="152"/>
        <v>-</v>
      </c>
      <c r="AL63" s="11" t="str">
        <f t="shared" si="152"/>
        <v>-</v>
      </c>
      <c r="AM63" s="2" t="str" cm="1">
        <f t="array" ref="AM63">IFERROR(MIN(_xlfn._xlws.FILTER(AC63:AL63,AC63:AL63&lt;&gt;$AC$70)),"-")</f>
        <v>-</v>
      </c>
    </row>
    <row r="64" spans="1:39" x14ac:dyDescent="0.25">
      <c r="A64" s="10">
        <f t="shared" si="1"/>
        <v>62</v>
      </c>
      <c r="B64" s="2" t="str">
        <v>Austria</v>
      </c>
      <c r="C64" s="11">
        <v>0.5</v>
      </c>
      <c r="D64" s="14" t="str" cm="1">
        <f t="array" aca="1" ref="D64" ca="1">IFERROR(_xlfn.XLOOKUP(MIN(E63:INDIRECT($AA$4&amp;A64+1)),E63:INDIRECT($AA$4&amp;A64+1),$E$2:INDIRECT($AA$4&amp;"$2")),"-")</f>
        <v>-</v>
      </c>
      <c r="E64" s="10" t="str">
        <f ca="1">IF(E$1&gt;$Z$4,"-",IF(COUNTIF($D$3:$D64,E$2)=$Z$3,"Full",SUMIFS($C$3:$C64,$D$3:$D64,E$2)))</f>
        <v>Full</v>
      </c>
      <c r="F64" s="2" t="str">
        <f>IF(F$1&gt;$Z$4,"-",IF(COUNTIF($D$3:$D64,F$2)=$Z$3,"Full",SUMIFS($C$3:$C64,$D$3:$D64,F$2)))</f>
        <v>-</v>
      </c>
      <c r="G64" s="2" t="str">
        <f>IF(G$1&gt;$Z$4,"-",IF(COUNTIF($D$3:$D64,G$2)=$Z$3,"Full",SUMIFS($C$3:$C64,$D$3:$D64,G$2)))</f>
        <v>-</v>
      </c>
      <c r="H64" s="2" t="str">
        <f>IF(H$1&gt;$Z$4,"-",IF(COUNTIF($D$3:$D64,H$2)=$Z$3,"Full",SUMIFS($C$3:$C64,$D$3:$D64,H$2)))</f>
        <v>-</v>
      </c>
      <c r="I64" s="2" t="str">
        <f>IF(I$1&gt;$Z$4,"-",IF(COUNTIF($D$3:$D64,I$2)=$Z$3,"Full",SUMIFS($C$3:$C64,$D$3:$D64,I$2)))</f>
        <v>-</v>
      </c>
      <c r="J64" s="2" t="str">
        <f>IF(J$1&gt;$Z$4,"-",IF(COUNTIF($D$3:$D64,J$2)=$Z$3,"Full",SUMIFS($C$3:$C64,$D$3:$D64,J$2)))</f>
        <v>-</v>
      </c>
      <c r="K64" s="2" t="str">
        <f>IF(K$1&gt;$Z$4,"-",IF(COUNTIF($D$3:$D64,K$2)=$Z$3,"Full",SUMIFS($C$3:$C64,$D$3:$D64,K$2)))</f>
        <v>-</v>
      </c>
      <c r="L64" s="2" t="str">
        <f>IF(L$1&gt;$Z$4,"-",IF(COUNTIF($D$3:$D64,L$2)=$Z$3,"Full",SUMIFS($C$3:$C64,$D$3:$D64,L$2)))</f>
        <v>-</v>
      </c>
      <c r="M64" s="2" t="str">
        <f>IF(M$1&gt;$Z$4,"-",IF(COUNTIF($D$3:$D64,M$2)=$Z$3,"Full",SUMIFS($C$3:$C64,$D$3:$D64,M$2)))</f>
        <v>-</v>
      </c>
      <c r="N64" s="2" t="str">
        <f>IF(N$1&gt;$Z$4,"-",IF(COUNTIF($D$3:$D64,N$2)=$Z$3,"Full",SUMIFS($C$3:$C64,$D$3:$D64,N$2)))</f>
        <v>-</v>
      </c>
      <c r="O64" s="2" t="str">
        <f>IF(O$1&gt;$Z$4,"-",IF(COUNTIF($D$3:$D64,O$2)=$Z$3,"Full",SUMIFS($C$3:$C64,$D$3:$D64,O$2)))</f>
        <v>-</v>
      </c>
      <c r="P64" s="2" t="str">
        <f>IF(P$1&gt;$Z$4,"-",IF(COUNTIF($D$3:$D64,P$2)=$Z$3,"Full",SUMIFS($C$3:$C64,$D$3:$D64,P$2)))</f>
        <v>-</v>
      </c>
      <c r="Q64" s="2" t="str">
        <f>IF(Q$1&gt;$Z$4,"-",IF(COUNTIF($D$3:$D64,Q$2)=$Z$3,"Full",SUMIFS($C$3:$C64,$D$3:$D64,Q$2)))</f>
        <v>-</v>
      </c>
      <c r="R64" s="2" t="str">
        <f>IF(R$1&gt;$Z$4,"-",IF(COUNTIF($D$3:$D64,R$2)=$Z$3,"Full",SUMIFS($C$3:$C64,$D$3:$D64,R$2)))</f>
        <v>-</v>
      </c>
      <c r="S64" s="2" t="str">
        <f>IF(S$1&gt;$Z$4,"-",IF(COUNTIF($D$3:$D64,S$2)=$Z$3,"Full",SUMIFS($C$3:$C64,$D$3:$D64,S$2)))</f>
        <v>-</v>
      </c>
      <c r="T64" s="11" t="str">
        <f>IF(T$1&gt;$Z$4,"-",IF(COUNTIF($D$3:$D64,T$2)=$Z$3,"Full",SUMIFS($C$3:$C64,$D$3:$D64,T$2)))</f>
        <v>-</v>
      </c>
      <c r="W64" s="2" t="s">
        <v>129</v>
      </c>
      <c r="X64" s="2">
        <f>_xlfn.XLOOKUP(Z64,AB58:AB67,AA58:AA67)</f>
        <v>2</v>
      </c>
      <c r="Y64" s="2" t="s">
        <v>127</v>
      </c>
      <c r="Z64" s="2" t="str">
        <f>IFERROR(_xlfn.XLOOKUP(Z62,AM58:AM67,AB58:AB67),"-")</f>
        <v>-</v>
      </c>
      <c r="AA64" s="2">
        <v>7</v>
      </c>
      <c r="AB64" s="14" t="str">
        <f t="shared" si="151"/>
        <v>-</v>
      </c>
      <c r="AC64" s="10" t="str">
        <f t="shared" si="153"/>
        <v>-</v>
      </c>
      <c r="AD64" s="2" t="str">
        <f t="shared" si="152"/>
        <v>-</v>
      </c>
      <c r="AE64" s="2" t="str">
        <f t="shared" si="152"/>
        <v>-</v>
      </c>
      <c r="AF64" s="2" t="str">
        <f t="shared" si="152"/>
        <v>-</v>
      </c>
      <c r="AG64" s="2" t="str">
        <f t="shared" si="152"/>
        <v>-</v>
      </c>
      <c r="AH64" s="2" t="str">
        <f t="shared" si="152"/>
        <v>-</v>
      </c>
      <c r="AI64" s="2" t="str">
        <f t="shared" si="152"/>
        <v>-</v>
      </c>
      <c r="AJ64" s="2" t="str">
        <f t="shared" si="152"/>
        <v>-</v>
      </c>
      <c r="AK64" s="2" t="str">
        <f t="shared" si="152"/>
        <v>-</v>
      </c>
      <c r="AL64" s="11" t="str">
        <f t="shared" si="152"/>
        <v>-</v>
      </c>
      <c r="AM64" s="2" t="str" cm="1">
        <f t="array" ref="AM64">IFERROR(MIN(_xlfn._xlws.FILTER(AC64:AL64,AC64:AL64&lt;&gt;$AC$70)),"-")</f>
        <v>-</v>
      </c>
    </row>
    <row r="65" spans="1:39" x14ac:dyDescent="0.25">
      <c r="A65" s="10">
        <f t="shared" si="1"/>
        <v>63</v>
      </c>
      <c r="B65" s="2" t="str">
        <v>Egypt</v>
      </c>
      <c r="C65" s="11">
        <v>0.5</v>
      </c>
      <c r="D65" s="14" t="str" cm="1">
        <f t="array" aca="1" ref="D65" ca="1">IFERROR(_xlfn.XLOOKUP(MIN(E64:INDIRECT($AA$4&amp;A65+1)),E64:INDIRECT($AA$4&amp;A65+1),$E$2:INDIRECT($AA$4&amp;"$2")),"-")</f>
        <v>-</v>
      </c>
      <c r="E65" s="10" t="str">
        <f ca="1">IF(E$1&gt;$Z$4,"-",IF(COUNTIF($D$3:$D65,E$2)=$Z$3,"Full",SUMIFS($C$3:$C65,$D$3:$D65,E$2)))</f>
        <v>Full</v>
      </c>
      <c r="F65" s="2" t="str">
        <f>IF(F$1&gt;$Z$4,"-",IF(COUNTIF($D$3:$D65,F$2)=$Z$3,"Full",SUMIFS($C$3:$C65,$D$3:$D65,F$2)))</f>
        <v>-</v>
      </c>
      <c r="G65" s="2" t="str">
        <f>IF(G$1&gt;$Z$4,"-",IF(COUNTIF($D$3:$D65,G$2)=$Z$3,"Full",SUMIFS($C$3:$C65,$D$3:$D65,G$2)))</f>
        <v>-</v>
      </c>
      <c r="H65" s="2" t="str">
        <f>IF(H$1&gt;$Z$4,"-",IF(COUNTIF($D$3:$D65,H$2)=$Z$3,"Full",SUMIFS($C$3:$C65,$D$3:$D65,H$2)))</f>
        <v>-</v>
      </c>
      <c r="I65" s="2" t="str">
        <f>IF(I$1&gt;$Z$4,"-",IF(COUNTIF($D$3:$D65,I$2)=$Z$3,"Full",SUMIFS($C$3:$C65,$D$3:$D65,I$2)))</f>
        <v>-</v>
      </c>
      <c r="J65" s="2" t="str">
        <f>IF(J$1&gt;$Z$4,"-",IF(COUNTIF($D$3:$D65,J$2)=$Z$3,"Full",SUMIFS($C$3:$C65,$D$3:$D65,J$2)))</f>
        <v>-</v>
      </c>
      <c r="K65" s="2" t="str">
        <f>IF(K$1&gt;$Z$4,"-",IF(COUNTIF($D$3:$D65,K$2)=$Z$3,"Full",SUMIFS($C$3:$C65,$D$3:$D65,K$2)))</f>
        <v>-</v>
      </c>
      <c r="L65" s="2" t="str">
        <f>IF(L$1&gt;$Z$4,"-",IF(COUNTIF($D$3:$D65,L$2)=$Z$3,"Full",SUMIFS($C$3:$C65,$D$3:$D65,L$2)))</f>
        <v>-</v>
      </c>
      <c r="M65" s="2" t="str">
        <f>IF(M$1&gt;$Z$4,"-",IF(COUNTIF($D$3:$D65,M$2)=$Z$3,"Full",SUMIFS($C$3:$C65,$D$3:$D65,M$2)))</f>
        <v>-</v>
      </c>
      <c r="N65" s="2" t="str">
        <f>IF(N$1&gt;$Z$4,"-",IF(COUNTIF($D$3:$D65,N$2)=$Z$3,"Full",SUMIFS($C$3:$C65,$D$3:$D65,N$2)))</f>
        <v>-</v>
      </c>
      <c r="O65" s="2" t="str">
        <f>IF(O$1&gt;$Z$4,"-",IF(COUNTIF($D$3:$D65,O$2)=$Z$3,"Full",SUMIFS($C$3:$C65,$D$3:$D65,O$2)))</f>
        <v>-</v>
      </c>
      <c r="P65" s="2" t="str">
        <f>IF(P$1&gt;$Z$4,"-",IF(COUNTIF($D$3:$D65,P$2)=$Z$3,"Full",SUMIFS($C$3:$C65,$D$3:$D65,P$2)))</f>
        <v>-</v>
      </c>
      <c r="Q65" s="2" t="str">
        <f>IF(Q$1&gt;$Z$4,"-",IF(COUNTIF($D$3:$D65,Q$2)=$Z$3,"Full",SUMIFS($C$3:$C65,$D$3:$D65,Q$2)))</f>
        <v>-</v>
      </c>
      <c r="R65" s="2" t="str">
        <f>IF(R$1&gt;$Z$4,"-",IF(COUNTIF($D$3:$D65,R$2)=$Z$3,"Full",SUMIFS($C$3:$C65,$D$3:$D65,R$2)))</f>
        <v>-</v>
      </c>
      <c r="S65" s="2" t="str">
        <f>IF(S$1&gt;$Z$4,"-",IF(COUNTIF($D$3:$D65,S$2)=$Z$3,"Full",SUMIFS($C$3:$C65,$D$3:$D65,S$2)))</f>
        <v>-</v>
      </c>
      <c r="T65" s="11" t="str">
        <f>IF(T$1&gt;$Z$4,"-",IF(COUNTIF($D$3:$D65,T$2)=$Z$3,"Full",SUMIFS($C$3:$C65,$D$3:$D65,T$2)))</f>
        <v>-</v>
      </c>
      <c r="AA65" s="2">
        <v>8</v>
      </c>
      <c r="AB65" s="14" t="str">
        <f t="shared" si="151"/>
        <v>-</v>
      </c>
      <c r="AC65" s="10" t="str">
        <f t="shared" si="153"/>
        <v>-</v>
      </c>
      <c r="AD65" s="2" t="str">
        <f t="shared" si="152"/>
        <v>-</v>
      </c>
      <c r="AE65" s="2" t="str">
        <f t="shared" si="152"/>
        <v>-</v>
      </c>
      <c r="AF65" s="2" t="str">
        <f t="shared" si="152"/>
        <v>-</v>
      </c>
      <c r="AG65" s="2" t="str">
        <f t="shared" si="152"/>
        <v>-</v>
      </c>
      <c r="AH65" s="2" t="str">
        <f t="shared" si="152"/>
        <v>-</v>
      </c>
      <c r="AI65" s="2" t="str">
        <f t="shared" si="152"/>
        <v>-</v>
      </c>
      <c r="AJ65" s="2" t="str">
        <f t="shared" si="152"/>
        <v>-</v>
      </c>
      <c r="AK65" s="2" t="str">
        <f t="shared" si="152"/>
        <v>-</v>
      </c>
      <c r="AL65" s="11" t="str">
        <f t="shared" si="152"/>
        <v>-</v>
      </c>
      <c r="AM65" s="2" t="str" cm="1">
        <f t="array" ref="AM65">IFERROR(MIN(_xlfn._xlws.FILTER(AC65:AL65,AC65:AL65&lt;&gt;$AC$70)),"-")</f>
        <v>-</v>
      </c>
    </row>
    <row r="66" spans="1:39" x14ac:dyDescent="0.25">
      <c r="A66" s="10">
        <f t="shared" si="1"/>
        <v>64</v>
      </c>
      <c r="B66" s="2" t="str">
        <v>Bermuda</v>
      </c>
      <c r="C66" s="11">
        <v>0.5</v>
      </c>
      <c r="D66" s="14" t="str" cm="1">
        <f t="array" aca="1" ref="D66" ca="1">IFERROR(_xlfn.XLOOKUP(MIN(E65:INDIRECT($AA$4&amp;A66+1)),E65:INDIRECT($AA$4&amp;A66+1),$E$2:INDIRECT($AA$4&amp;"$2")),"-")</f>
        <v>-</v>
      </c>
      <c r="E66" s="10" t="str">
        <f ca="1">IF(E$1&gt;$Z$4,"-",IF(COUNTIF($D$3:$D66,E$2)=$Z$3,"Full",SUMIFS($C$3:$C66,$D$3:$D66,E$2)))</f>
        <v>Full</v>
      </c>
      <c r="F66" s="2" t="str">
        <f>IF(F$1&gt;$Z$4,"-",IF(COUNTIF($D$3:$D66,F$2)=$Z$3,"Full",SUMIFS($C$3:$C66,$D$3:$D66,F$2)))</f>
        <v>-</v>
      </c>
      <c r="G66" s="2" t="str">
        <f>IF(G$1&gt;$Z$4,"-",IF(COUNTIF($D$3:$D66,G$2)=$Z$3,"Full",SUMIFS($C$3:$C66,$D$3:$D66,G$2)))</f>
        <v>-</v>
      </c>
      <c r="H66" s="2" t="str">
        <f>IF(H$1&gt;$Z$4,"-",IF(COUNTIF($D$3:$D66,H$2)=$Z$3,"Full",SUMIFS($C$3:$C66,$D$3:$D66,H$2)))</f>
        <v>-</v>
      </c>
      <c r="I66" s="2" t="str">
        <f>IF(I$1&gt;$Z$4,"-",IF(COUNTIF($D$3:$D66,I$2)=$Z$3,"Full",SUMIFS($C$3:$C66,$D$3:$D66,I$2)))</f>
        <v>-</v>
      </c>
      <c r="J66" s="2" t="str">
        <f>IF(J$1&gt;$Z$4,"-",IF(COUNTIF($D$3:$D66,J$2)=$Z$3,"Full",SUMIFS($C$3:$C66,$D$3:$D66,J$2)))</f>
        <v>-</v>
      </c>
      <c r="K66" s="2" t="str">
        <f>IF(K$1&gt;$Z$4,"-",IF(COUNTIF($D$3:$D66,K$2)=$Z$3,"Full",SUMIFS($C$3:$C66,$D$3:$D66,K$2)))</f>
        <v>-</v>
      </c>
      <c r="L66" s="2" t="str">
        <f>IF(L$1&gt;$Z$4,"-",IF(COUNTIF($D$3:$D66,L$2)=$Z$3,"Full",SUMIFS($C$3:$C66,$D$3:$D66,L$2)))</f>
        <v>-</v>
      </c>
      <c r="M66" s="2" t="str">
        <f>IF(M$1&gt;$Z$4,"-",IF(COUNTIF($D$3:$D66,M$2)=$Z$3,"Full",SUMIFS($C$3:$C66,$D$3:$D66,M$2)))</f>
        <v>-</v>
      </c>
      <c r="N66" s="2" t="str">
        <f>IF(N$1&gt;$Z$4,"-",IF(COUNTIF($D$3:$D66,N$2)=$Z$3,"Full",SUMIFS($C$3:$C66,$D$3:$D66,N$2)))</f>
        <v>-</v>
      </c>
      <c r="O66" s="2" t="str">
        <f>IF(O$1&gt;$Z$4,"-",IF(COUNTIF($D$3:$D66,O$2)=$Z$3,"Full",SUMIFS($C$3:$C66,$D$3:$D66,O$2)))</f>
        <v>-</v>
      </c>
      <c r="P66" s="2" t="str">
        <f>IF(P$1&gt;$Z$4,"-",IF(COUNTIF($D$3:$D66,P$2)=$Z$3,"Full",SUMIFS($C$3:$C66,$D$3:$D66,P$2)))</f>
        <v>-</v>
      </c>
      <c r="Q66" s="2" t="str">
        <f>IF(Q$1&gt;$Z$4,"-",IF(COUNTIF($D$3:$D66,Q$2)=$Z$3,"Full",SUMIFS($C$3:$C66,$D$3:$D66,Q$2)))</f>
        <v>-</v>
      </c>
      <c r="R66" s="2" t="str">
        <f>IF(R$1&gt;$Z$4,"-",IF(COUNTIF($D$3:$D66,R$2)=$Z$3,"Full",SUMIFS($C$3:$C66,$D$3:$D66,R$2)))</f>
        <v>-</v>
      </c>
      <c r="S66" s="2" t="str">
        <f>IF(S$1&gt;$Z$4,"-",IF(COUNTIF($D$3:$D66,S$2)=$Z$3,"Full",SUMIFS($C$3:$C66,$D$3:$D66,S$2)))</f>
        <v>-</v>
      </c>
      <c r="T66" s="11" t="str">
        <f>IF(T$1&gt;$Z$4,"-",IF(COUNTIF($D$3:$D66,T$2)=$Z$3,"Full",SUMIFS($C$3:$C66,$D$3:$D66,T$2)))</f>
        <v>-</v>
      </c>
      <c r="W66" s="2" t="s">
        <v>130</v>
      </c>
      <c r="X66" s="2" t="s">
        <v>131</v>
      </c>
      <c r="Y66" s="2" t="s">
        <v>132</v>
      </c>
      <c r="AA66" s="2">
        <v>9</v>
      </c>
      <c r="AB66" s="14" t="str">
        <f t="shared" si="151"/>
        <v>-</v>
      </c>
      <c r="AC66" s="10" t="str">
        <f t="shared" si="153"/>
        <v>-</v>
      </c>
      <c r="AD66" s="2" t="str">
        <f t="shared" si="152"/>
        <v>-</v>
      </c>
      <c r="AE66" s="2" t="str">
        <f t="shared" si="152"/>
        <v>-</v>
      </c>
      <c r="AF66" s="2" t="str">
        <f t="shared" si="152"/>
        <v>-</v>
      </c>
      <c r="AG66" s="2" t="str">
        <f t="shared" si="152"/>
        <v>-</v>
      </c>
      <c r="AH66" s="2" t="str">
        <f t="shared" si="152"/>
        <v>-</v>
      </c>
      <c r="AI66" s="2" t="str">
        <f t="shared" si="152"/>
        <v>-</v>
      </c>
      <c r="AJ66" s="2" t="str">
        <f t="shared" si="152"/>
        <v>-</v>
      </c>
      <c r="AK66" s="2" t="str">
        <f t="shared" si="152"/>
        <v>-</v>
      </c>
      <c r="AL66" s="11" t="str">
        <f t="shared" si="152"/>
        <v>-</v>
      </c>
      <c r="AM66" s="2" t="str" cm="1">
        <f t="array" ref="AM66">IFERROR(MIN(_xlfn._xlws.FILTER(AC66:AL66,AC66:AL66&lt;&gt;$AC$70)),"-")</f>
        <v>-</v>
      </c>
    </row>
    <row r="67" spans="1:39" ht="15.75" thickBot="1" x14ac:dyDescent="0.3">
      <c r="A67" s="10">
        <f t="shared" si="1"/>
        <v>65</v>
      </c>
      <c r="B67" s="2" t="str">
        <v>Morocco</v>
      </c>
      <c r="C67" s="11">
        <v>0.5</v>
      </c>
      <c r="D67" s="14" t="str" cm="1">
        <f t="array" aca="1" ref="D67" ca="1">IFERROR(_xlfn.XLOOKUP(MIN(E66:INDIRECT($AA$4&amp;A67+1)),E66:INDIRECT($AA$4&amp;A67+1),$E$2:INDIRECT($AA$4&amp;"$2")),"-")</f>
        <v>-</v>
      </c>
      <c r="E67" s="10" t="str">
        <f ca="1">IF(E$1&gt;$Z$4,"-",IF(COUNTIF($D$3:$D67,E$2)=$Z$3,"Full",SUMIFS($C$3:$C67,$D$3:$D67,E$2)))</f>
        <v>Full</v>
      </c>
      <c r="F67" s="2" t="str">
        <f>IF(F$1&gt;$Z$4,"-",IF(COUNTIF($D$3:$D67,F$2)=$Z$3,"Full",SUMIFS($C$3:$C67,$D$3:$D67,F$2)))</f>
        <v>-</v>
      </c>
      <c r="G67" s="2" t="str">
        <f>IF(G$1&gt;$Z$4,"-",IF(COUNTIF($D$3:$D67,G$2)=$Z$3,"Full",SUMIFS($C$3:$C67,$D$3:$D67,G$2)))</f>
        <v>-</v>
      </c>
      <c r="H67" s="2" t="str">
        <f>IF(H$1&gt;$Z$4,"-",IF(COUNTIF($D$3:$D67,H$2)=$Z$3,"Full",SUMIFS($C$3:$C67,$D$3:$D67,H$2)))</f>
        <v>-</v>
      </c>
      <c r="I67" s="2" t="str">
        <f>IF(I$1&gt;$Z$4,"-",IF(COUNTIF($D$3:$D67,I$2)=$Z$3,"Full",SUMIFS($C$3:$C67,$D$3:$D67,I$2)))</f>
        <v>-</v>
      </c>
      <c r="J67" s="2" t="str">
        <f>IF(J$1&gt;$Z$4,"-",IF(COUNTIF($D$3:$D67,J$2)=$Z$3,"Full",SUMIFS($C$3:$C67,$D$3:$D67,J$2)))</f>
        <v>-</v>
      </c>
      <c r="K67" s="2" t="str">
        <f>IF(K$1&gt;$Z$4,"-",IF(COUNTIF($D$3:$D67,K$2)=$Z$3,"Full",SUMIFS($C$3:$C67,$D$3:$D67,K$2)))</f>
        <v>-</v>
      </c>
      <c r="L67" s="2" t="str">
        <f>IF(L$1&gt;$Z$4,"-",IF(COUNTIF($D$3:$D67,L$2)=$Z$3,"Full",SUMIFS($C$3:$C67,$D$3:$D67,L$2)))</f>
        <v>-</v>
      </c>
      <c r="M67" s="2" t="str">
        <f>IF(M$1&gt;$Z$4,"-",IF(COUNTIF($D$3:$D67,M$2)=$Z$3,"Full",SUMIFS($C$3:$C67,$D$3:$D67,M$2)))</f>
        <v>-</v>
      </c>
      <c r="N67" s="2" t="str">
        <f>IF(N$1&gt;$Z$4,"-",IF(COUNTIF($D$3:$D67,N$2)=$Z$3,"Full",SUMIFS($C$3:$C67,$D$3:$D67,N$2)))</f>
        <v>-</v>
      </c>
      <c r="O67" s="2" t="str">
        <f>IF(O$1&gt;$Z$4,"-",IF(COUNTIF($D$3:$D67,O$2)=$Z$3,"Full",SUMIFS($C$3:$C67,$D$3:$D67,O$2)))</f>
        <v>-</v>
      </c>
      <c r="P67" s="2" t="str">
        <f>IF(P$1&gt;$Z$4,"-",IF(COUNTIF($D$3:$D67,P$2)=$Z$3,"Full",SUMIFS($C$3:$C67,$D$3:$D67,P$2)))</f>
        <v>-</v>
      </c>
      <c r="Q67" s="2" t="str">
        <f>IF(Q$1&gt;$Z$4,"-",IF(COUNTIF($D$3:$D67,Q$2)=$Z$3,"Full",SUMIFS($C$3:$C67,$D$3:$D67,Q$2)))</f>
        <v>-</v>
      </c>
      <c r="R67" s="2" t="str">
        <f>IF(R$1&gt;$Z$4,"-",IF(COUNTIF($D$3:$D67,R$2)=$Z$3,"Full",SUMIFS($C$3:$C67,$D$3:$D67,R$2)))</f>
        <v>-</v>
      </c>
      <c r="S67" s="2" t="str">
        <f>IF(S$1&gt;$Z$4,"-",IF(COUNTIF($D$3:$D67,S$2)=$Z$3,"Full",SUMIFS($C$3:$C67,$D$3:$D67,S$2)))</f>
        <v>-</v>
      </c>
      <c r="T67" s="11" t="str">
        <f>IF(T$1&gt;$Z$4,"-",IF(COUNTIF($D$3:$D67,T$2)=$Z$3,"Full",SUMIFS($C$3:$C67,$D$3:$D67,T$2)))</f>
        <v>-</v>
      </c>
      <c r="V67" s="2" t="s">
        <v>133</v>
      </c>
      <c r="W67" s="2" cm="1">
        <f t="array" aca="1" ref="W67" ca="1">CELL("col",W23)</f>
        <v>23</v>
      </c>
      <c r="X67" s="2">
        <f ca="1">W67+2*X59</f>
        <v>25</v>
      </c>
      <c r="Y67" s="2">
        <f ca="1">W67+2*X58</f>
        <v>25</v>
      </c>
      <c r="AA67" s="2">
        <v>10</v>
      </c>
      <c r="AB67" s="15" t="str">
        <f t="shared" si="151"/>
        <v>-</v>
      </c>
      <c r="AC67" s="12" t="str">
        <f t="shared" si="153"/>
        <v>-</v>
      </c>
      <c r="AD67" s="8" t="str">
        <f t="shared" si="152"/>
        <v>-</v>
      </c>
      <c r="AE67" s="8" t="str">
        <f t="shared" si="152"/>
        <v>-</v>
      </c>
      <c r="AF67" s="8" t="str">
        <f t="shared" si="152"/>
        <v>-</v>
      </c>
      <c r="AG67" s="8" t="str">
        <f t="shared" si="152"/>
        <v>-</v>
      </c>
      <c r="AH67" s="8" t="str">
        <f t="shared" si="152"/>
        <v>-</v>
      </c>
      <c r="AI67" s="8" t="str">
        <f t="shared" si="152"/>
        <v>-</v>
      </c>
      <c r="AJ67" s="8" t="str">
        <f t="shared" si="152"/>
        <v>-</v>
      </c>
      <c r="AK67" s="8" t="str">
        <f t="shared" si="152"/>
        <v>-</v>
      </c>
      <c r="AL67" s="9" t="str">
        <f t="shared" si="152"/>
        <v>-</v>
      </c>
      <c r="AM67" s="2" t="str" cm="1">
        <f t="array" ref="AM67">IFERROR(MIN(_xlfn._xlws.FILTER(AC67:AL67,AC67:AL67&lt;&gt;$AC$70)),"-")</f>
        <v>-</v>
      </c>
    </row>
    <row r="68" spans="1:39" x14ac:dyDescent="0.25">
      <c r="A68" s="10">
        <f t="shared" si="1"/>
        <v>66</v>
      </c>
      <c r="B68" s="2" t="str">
        <v>Bahrain</v>
      </c>
      <c r="C68" s="11">
        <v>0.42</v>
      </c>
      <c r="D68" s="14" t="str" cm="1">
        <f t="array" aca="1" ref="D68" ca="1">IFERROR(_xlfn.XLOOKUP(MIN(E67:INDIRECT($AA$4&amp;A68+1)),E67:INDIRECT($AA$4&amp;A68+1),$E$2:INDIRECT($AA$4&amp;"$2")),"-")</f>
        <v>-</v>
      </c>
      <c r="E68" s="10" t="str">
        <f ca="1">IF(E$1&gt;$Z$4,"-",IF(COUNTIF($D$3:$D68,E$2)=$Z$3,"Full",SUMIFS($C$3:$C68,$D$3:$D68,E$2)))</f>
        <v>Full</v>
      </c>
      <c r="F68" s="2" t="str">
        <f>IF(F$1&gt;$Z$4,"-",IF(COUNTIF($D$3:$D68,F$2)=$Z$3,"Full",SUMIFS($C$3:$C68,$D$3:$D68,F$2)))</f>
        <v>-</v>
      </c>
      <c r="G68" s="2" t="str">
        <f>IF(G$1&gt;$Z$4,"-",IF(COUNTIF($D$3:$D68,G$2)=$Z$3,"Full",SUMIFS($C$3:$C68,$D$3:$D68,G$2)))</f>
        <v>-</v>
      </c>
      <c r="H68" s="2" t="str">
        <f>IF(H$1&gt;$Z$4,"-",IF(COUNTIF($D$3:$D68,H$2)=$Z$3,"Full",SUMIFS($C$3:$C68,$D$3:$D68,H$2)))</f>
        <v>-</v>
      </c>
      <c r="I68" s="2" t="str">
        <f>IF(I$1&gt;$Z$4,"-",IF(COUNTIF($D$3:$D68,I$2)=$Z$3,"Full",SUMIFS($C$3:$C68,$D$3:$D68,I$2)))</f>
        <v>-</v>
      </c>
      <c r="J68" s="2" t="str">
        <f>IF(J$1&gt;$Z$4,"-",IF(COUNTIF($D$3:$D68,J$2)=$Z$3,"Full",SUMIFS($C$3:$C68,$D$3:$D68,J$2)))</f>
        <v>-</v>
      </c>
      <c r="K68" s="2" t="str">
        <f>IF(K$1&gt;$Z$4,"-",IF(COUNTIF($D$3:$D68,K$2)=$Z$3,"Full",SUMIFS($C$3:$C68,$D$3:$D68,K$2)))</f>
        <v>-</v>
      </c>
      <c r="L68" s="2" t="str">
        <f>IF(L$1&gt;$Z$4,"-",IF(COUNTIF($D$3:$D68,L$2)=$Z$3,"Full",SUMIFS($C$3:$C68,$D$3:$D68,L$2)))</f>
        <v>-</v>
      </c>
      <c r="M68" s="2" t="str">
        <f>IF(M$1&gt;$Z$4,"-",IF(COUNTIF($D$3:$D68,M$2)=$Z$3,"Full",SUMIFS($C$3:$C68,$D$3:$D68,M$2)))</f>
        <v>-</v>
      </c>
      <c r="N68" s="2" t="str">
        <f>IF(N$1&gt;$Z$4,"-",IF(COUNTIF($D$3:$D68,N$2)=$Z$3,"Full",SUMIFS($C$3:$C68,$D$3:$D68,N$2)))</f>
        <v>-</v>
      </c>
      <c r="O68" s="2" t="str">
        <f>IF(O$1&gt;$Z$4,"-",IF(COUNTIF($D$3:$D68,O$2)=$Z$3,"Full",SUMIFS($C$3:$C68,$D$3:$D68,O$2)))</f>
        <v>-</v>
      </c>
      <c r="P68" s="2" t="str">
        <f>IF(P$1&gt;$Z$4,"-",IF(COUNTIF($D$3:$D68,P$2)=$Z$3,"Full",SUMIFS($C$3:$C68,$D$3:$D68,P$2)))</f>
        <v>-</v>
      </c>
      <c r="Q68" s="2" t="str">
        <f>IF(Q$1&gt;$Z$4,"-",IF(COUNTIF($D$3:$D68,Q$2)=$Z$3,"Full",SUMIFS($C$3:$C68,$D$3:$D68,Q$2)))</f>
        <v>-</v>
      </c>
      <c r="R68" s="2" t="str">
        <f>IF(R$1&gt;$Z$4,"-",IF(COUNTIF($D$3:$D68,R$2)=$Z$3,"Full",SUMIFS($C$3:$C68,$D$3:$D68,R$2)))</f>
        <v>-</v>
      </c>
      <c r="S68" s="2" t="str">
        <f>IF(S$1&gt;$Z$4,"-",IF(COUNTIF($D$3:$D68,S$2)=$Z$3,"Full",SUMIFS($C$3:$C68,$D$3:$D68,S$2)))</f>
        <v>-</v>
      </c>
      <c r="T68" s="11" t="str">
        <f>IF(T$1&gt;$Z$4,"-",IF(COUNTIF($D$3:$D68,T$2)=$Z$3,"Full",SUMIFS($C$3:$C68,$D$3:$D68,T$2)))</f>
        <v>-</v>
      </c>
      <c r="V68" s="2" t="s">
        <v>134</v>
      </c>
      <c r="W68" s="2" cm="1">
        <f t="array" aca="1" ref="W68" ca="1">CELL("row",W23)</f>
        <v>23</v>
      </c>
      <c r="X68" s="2">
        <f ca="1">W68+X63</f>
        <v>25</v>
      </c>
      <c r="Y68" s="2">
        <f ca="1">W68+X64</f>
        <v>25</v>
      </c>
      <c r="AC68" s="2" t="str" cm="1">
        <f t="array" ref="AC68">IFERROR(MIN(_xlfn._xlws.FILTER(AC58:AC67,AC58:AC67&lt;&gt;$AC$70)),"-")</f>
        <v>-</v>
      </c>
      <c r="AD68" s="2" t="str" cm="1">
        <f t="array" ref="AD68">IFERROR(MIN(_xlfn._xlws.FILTER(AD58:AD67,AD58:AD67&lt;&gt;$AC$70)),"-")</f>
        <v>-</v>
      </c>
      <c r="AE68" s="2" t="str" cm="1">
        <f t="array" ref="AE68">IFERROR(MIN(_xlfn._xlws.FILTER(AE58:AE67,AE58:AE67&lt;&gt;$AC$70)),"-")</f>
        <v>-</v>
      </c>
      <c r="AF68" s="2" t="str" cm="1">
        <f t="array" ref="AF68">IFERROR(MIN(_xlfn._xlws.FILTER(AF58:AF67,AF58:AF67&lt;&gt;$AC$70)),"-")</f>
        <v>-</v>
      </c>
      <c r="AG68" s="2" t="str" cm="1">
        <f t="array" ref="AG68">IFERROR(MIN(_xlfn._xlws.FILTER(AG58:AG67,AG58:AG67&lt;&gt;$AC$70)),"-")</f>
        <v>-</v>
      </c>
      <c r="AH68" s="2" t="str" cm="1">
        <f t="array" ref="AH68">IFERROR(MIN(_xlfn._xlws.FILTER(AH58:AH67,AH58:AH67&lt;&gt;$AC$70)),"-")</f>
        <v>-</v>
      </c>
      <c r="AI68" s="2" t="str" cm="1">
        <f t="array" ref="AI68">IFERROR(MIN(_xlfn._xlws.FILTER(AI58:AI67,AI58:AI67&lt;&gt;$AC$70)),"-")</f>
        <v>-</v>
      </c>
      <c r="AJ68" s="2" t="str" cm="1">
        <f t="array" ref="AJ68">IFERROR(MIN(_xlfn._xlws.FILTER(AJ58:AJ67,AJ58:AJ67&lt;&gt;$AC$70)),"-")</f>
        <v>-</v>
      </c>
      <c r="AK68" s="2" t="str" cm="1">
        <f t="array" ref="AK68">IFERROR(MIN(_xlfn._xlws.FILTER(AK58:AK67,AK58:AK67&lt;&gt;$AC$70)),"-")</f>
        <v>-</v>
      </c>
      <c r="AL68" s="2" t="str" cm="1">
        <f t="array" ref="AL68">IFERROR(MIN(_xlfn._xlws.FILTER(AL58:AL67,AL58:AL67&lt;&gt;$AC$70)),"-")</f>
        <v>-</v>
      </c>
    </row>
    <row r="69" spans="1:39" x14ac:dyDescent="0.25">
      <c r="A69" s="10">
        <f t="shared" ref="A69:A132" si="154">IF(B69="","",A68+1)</f>
        <v>67</v>
      </c>
      <c r="B69" s="2" t="str">
        <v>Lithuania</v>
      </c>
      <c r="C69" s="11">
        <v>0.33</v>
      </c>
      <c r="D69" s="14" t="str" cm="1">
        <f t="array" aca="1" ref="D69" ca="1">IFERROR(_xlfn.XLOOKUP(MIN(E68:INDIRECT($AA$4&amp;A69+1)),E68:INDIRECT($AA$4&amp;A69+1),$E$2:INDIRECT($AA$4&amp;"$2")),"-")</f>
        <v>-</v>
      </c>
      <c r="E69" s="10" t="str">
        <f ca="1">IF(E$1&gt;$Z$4,"-",IF(COUNTIF($D$3:$D69,E$2)=$Z$3,"Full",SUMIFS($C$3:$C69,$D$3:$D69,E$2)))</f>
        <v>Full</v>
      </c>
      <c r="F69" s="2" t="str">
        <f>IF(F$1&gt;$Z$4,"-",IF(COUNTIF($D$3:$D69,F$2)=$Z$3,"Full",SUMIFS($C$3:$C69,$D$3:$D69,F$2)))</f>
        <v>-</v>
      </c>
      <c r="G69" s="2" t="str">
        <f>IF(G$1&gt;$Z$4,"-",IF(COUNTIF($D$3:$D69,G$2)=$Z$3,"Full",SUMIFS($C$3:$C69,$D$3:$D69,G$2)))</f>
        <v>-</v>
      </c>
      <c r="H69" s="2" t="str">
        <f>IF(H$1&gt;$Z$4,"-",IF(COUNTIF($D$3:$D69,H$2)=$Z$3,"Full",SUMIFS($C$3:$C69,$D$3:$D69,H$2)))</f>
        <v>-</v>
      </c>
      <c r="I69" s="2" t="str">
        <f>IF(I$1&gt;$Z$4,"-",IF(COUNTIF($D$3:$D69,I$2)=$Z$3,"Full",SUMIFS($C$3:$C69,$D$3:$D69,I$2)))</f>
        <v>-</v>
      </c>
      <c r="J69" s="2" t="str">
        <f>IF(J$1&gt;$Z$4,"-",IF(COUNTIF($D$3:$D69,J$2)=$Z$3,"Full",SUMIFS($C$3:$C69,$D$3:$D69,J$2)))</f>
        <v>-</v>
      </c>
      <c r="K69" s="2" t="str">
        <f>IF(K$1&gt;$Z$4,"-",IF(COUNTIF($D$3:$D69,K$2)=$Z$3,"Full",SUMIFS($C$3:$C69,$D$3:$D69,K$2)))</f>
        <v>-</v>
      </c>
      <c r="L69" s="2" t="str">
        <f>IF(L$1&gt;$Z$4,"-",IF(COUNTIF($D$3:$D69,L$2)=$Z$3,"Full",SUMIFS($C$3:$C69,$D$3:$D69,L$2)))</f>
        <v>-</v>
      </c>
      <c r="M69" s="2" t="str">
        <f>IF(M$1&gt;$Z$4,"-",IF(COUNTIF($D$3:$D69,M$2)=$Z$3,"Full",SUMIFS($C$3:$C69,$D$3:$D69,M$2)))</f>
        <v>-</v>
      </c>
      <c r="N69" s="2" t="str">
        <f>IF(N$1&gt;$Z$4,"-",IF(COUNTIF($D$3:$D69,N$2)=$Z$3,"Full",SUMIFS($C$3:$C69,$D$3:$D69,N$2)))</f>
        <v>-</v>
      </c>
      <c r="O69" s="2" t="str">
        <f>IF(O$1&gt;$Z$4,"-",IF(COUNTIF($D$3:$D69,O$2)=$Z$3,"Full",SUMIFS($C$3:$C69,$D$3:$D69,O$2)))</f>
        <v>-</v>
      </c>
      <c r="P69" s="2" t="str">
        <f>IF(P$1&gt;$Z$4,"-",IF(COUNTIF($D$3:$D69,P$2)=$Z$3,"Full",SUMIFS($C$3:$C69,$D$3:$D69,P$2)))</f>
        <v>-</v>
      </c>
      <c r="Q69" s="2" t="str">
        <f>IF(Q$1&gt;$Z$4,"-",IF(COUNTIF($D$3:$D69,Q$2)=$Z$3,"Full",SUMIFS($C$3:$C69,$D$3:$D69,Q$2)))</f>
        <v>-</v>
      </c>
      <c r="R69" s="2" t="str">
        <f>IF(R$1&gt;$Z$4,"-",IF(COUNTIF($D$3:$D69,R$2)=$Z$3,"Full",SUMIFS($C$3:$C69,$D$3:$D69,R$2)))</f>
        <v>-</v>
      </c>
      <c r="S69" s="2" t="str">
        <f>IF(S$1&gt;$Z$4,"-",IF(COUNTIF($D$3:$D69,S$2)=$Z$3,"Full",SUMIFS($C$3:$C69,$D$3:$D69,S$2)))</f>
        <v>-</v>
      </c>
      <c r="T69" s="11" t="str">
        <f>IF(T$1&gt;$Z$4,"-",IF(COUNTIF($D$3:$D69,T$2)=$Z$3,"Full",SUMIFS($C$3:$C69,$D$3:$D69,T$2)))</f>
        <v>-</v>
      </c>
    </row>
    <row r="70" spans="1:39" x14ac:dyDescent="0.25">
      <c r="A70" s="10">
        <f t="shared" si="154"/>
        <v>68</v>
      </c>
      <c r="B70" s="2" t="str">
        <v>Mexico</v>
      </c>
      <c r="C70" s="11">
        <v>0.33</v>
      </c>
      <c r="D70" s="14" t="str" cm="1">
        <f t="array" aca="1" ref="D70" ca="1">IFERROR(_xlfn.XLOOKUP(MIN(E69:INDIRECT($AA$4&amp;A70+1)),E69:INDIRECT($AA$4&amp;A70+1),$E$2:INDIRECT($AA$4&amp;"$2")),"-")</f>
        <v>-</v>
      </c>
      <c r="E70" s="10" t="str">
        <f ca="1">IF(E$1&gt;$Z$4,"-",IF(COUNTIF($D$3:$D70,E$2)=$Z$3,"Full",SUMIFS($C$3:$C70,$D$3:$D70,E$2)))</f>
        <v>Full</v>
      </c>
      <c r="F70" s="2" t="str">
        <f>IF(F$1&gt;$Z$4,"-",IF(COUNTIF($D$3:$D70,F$2)=$Z$3,"Full",SUMIFS($C$3:$C70,$D$3:$D70,F$2)))</f>
        <v>-</v>
      </c>
      <c r="G70" s="2" t="str">
        <f>IF(G$1&gt;$Z$4,"-",IF(COUNTIF($D$3:$D70,G$2)=$Z$3,"Full",SUMIFS($C$3:$C70,$D$3:$D70,G$2)))</f>
        <v>-</v>
      </c>
      <c r="H70" s="2" t="str">
        <f>IF(H$1&gt;$Z$4,"-",IF(COUNTIF($D$3:$D70,H$2)=$Z$3,"Full",SUMIFS($C$3:$C70,$D$3:$D70,H$2)))</f>
        <v>-</v>
      </c>
      <c r="I70" s="2" t="str">
        <f>IF(I$1&gt;$Z$4,"-",IF(COUNTIF($D$3:$D70,I$2)=$Z$3,"Full",SUMIFS($C$3:$C70,$D$3:$D70,I$2)))</f>
        <v>-</v>
      </c>
      <c r="J70" s="2" t="str">
        <f>IF(J$1&gt;$Z$4,"-",IF(COUNTIF($D$3:$D70,J$2)=$Z$3,"Full",SUMIFS($C$3:$C70,$D$3:$D70,J$2)))</f>
        <v>-</v>
      </c>
      <c r="K70" s="2" t="str">
        <f>IF(K$1&gt;$Z$4,"-",IF(COUNTIF($D$3:$D70,K$2)=$Z$3,"Full",SUMIFS($C$3:$C70,$D$3:$D70,K$2)))</f>
        <v>-</v>
      </c>
      <c r="L70" s="2" t="str">
        <f>IF(L$1&gt;$Z$4,"-",IF(COUNTIF($D$3:$D70,L$2)=$Z$3,"Full",SUMIFS($C$3:$C70,$D$3:$D70,L$2)))</f>
        <v>-</v>
      </c>
      <c r="M70" s="2" t="str">
        <f>IF(M$1&gt;$Z$4,"-",IF(COUNTIF($D$3:$D70,M$2)=$Z$3,"Full",SUMIFS($C$3:$C70,$D$3:$D70,M$2)))</f>
        <v>-</v>
      </c>
      <c r="N70" s="2" t="str">
        <f>IF(N$1&gt;$Z$4,"-",IF(COUNTIF($D$3:$D70,N$2)=$Z$3,"Full",SUMIFS($C$3:$C70,$D$3:$D70,N$2)))</f>
        <v>-</v>
      </c>
      <c r="O70" s="2" t="str">
        <f>IF(O$1&gt;$Z$4,"-",IF(COUNTIF($D$3:$D70,O$2)=$Z$3,"Full",SUMIFS($C$3:$C70,$D$3:$D70,O$2)))</f>
        <v>-</v>
      </c>
      <c r="P70" s="2" t="str">
        <f>IF(P$1&gt;$Z$4,"-",IF(COUNTIF($D$3:$D70,P$2)=$Z$3,"Full",SUMIFS($C$3:$C70,$D$3:$D70,P$2)))</f>
        <v>-</v>
      </c>
      <c r="Q70" s="2" t="str">
        <f>IF(Q$1&gt;$Z$4,"-",IF(COUNTIF($D$3:$D70,Q$2)=$Z$3,"Full",SUMIFS($C$3:$C70,$D$3:$D70,Q$2)))</f>
        <v>-</v>
      </c>
      <c r="R70" s="2" t="str">
        <f>IF(R$1&gt;$Z$4,"-",IF(COUNTIF($D$3:$D70,R$2)=$Z$3,"Full",SUMIFS($C$3:$C70,$D$3:$D70,R$2)))</f>
        <v>-</v>
      </c>
      <c r="S70" s="2" t="str">
        <f>IF(S$1&gt;$Z$4,"-",IF(COUNTIF($D$3:$D70,S$2)=$Z$3,"Full",SUMIFS($C$3:$C70,$D$3:$D70,S$2)))</f>
        <v>-</v>
      </c>
      <c r="T70" s="11" t="str">
        <f>IF(T$1&gt;$Z$4,"-",IF(COUNTIF($D$3:$D70,T$2)=$Z$3,"Full",SUMIFS($C$3:$C70,$D$3:$D70,T$2)))</f>
        <v>-</v>
      </c>
      <c r="X70" s="2" t="s">
        <v>135</v>
      </c>
      <c r="AC70" s="2" t="s">
        <v>114</v>
      </c>
    </row>
    <row r="71" spans="1:39" x14ac:dyDescent="0.25">
      <c r="A71" s="10">
        <f t="shared" si="154"/>
        <v>69</v>
      </c>
      <c r="B71" s="2" t="str">
        <v>Dominican Republic</v>
      </c>
      <c r="C71" s="11">
        <v>0.25</v>
      </c>
      <c r="D71" s="14" t="str" cm="1">
        <f t="array" aca="1" ref="D71" ca="1">IFERROR(_xlfn.XLOOKUP(MIN(E70:INDIRECT($AA$4&amp;A71+1)),E70:INDIRECT($AA$4&amp;A71+1),$E$2:INDIRECT($AA$4&amp;"$2")),"-")</f>
        <v>-</v>
      </c>
      <c r="E71" s="10" t="str">
        <f ca="1">IF(E$1&gt;$Z$4,"-",IF(COUNTIF($D$3:$D71,E$2)=$Z$3,"Full",SUMIFS($C$3:$C71,$D$3:$D71,E$2)))</f>
        <v>Full</v>
      </c>
      <c r="F71" s="2" t="str">
        <f>IF(F$1&gt;$Z$4,"-",IF(COUNTIF($D$3:$D71,F$2)=$Z$3,"Full",SUMIFS($C$3:$C71,$D$3:$D71,F$2)))</f>
        <v>-</v>
      </c>
      <c r="G71" s="2" t="str">
        <f>IF(G$1&gt;$Z$4,"-",IF(COUNTIF($D$3:$D71,G$2)=$Z$3,"Full",SUMIFS($C$3:$C71,$D$3:$D71,G$2)))</f>
        <v>-</v>
      </c>
      <c r="H71" s="2" t="str">
        <f>IF(H$1&gt;$Z$4,"-",IF(COUNTIF($D$3:$D71,H$2)=$Z$3,"Full",SUMIFS($C$3:$C71,$D$3:$D71,H$2)))</f>
        <v>-</v>
      </c>
      <c r="I71" s="2" t="str">
        <f>IF(I$1&gt;$Z$4,"-",IF(COUNTIF($D$3:$D71,I$2)=$Z$3,"Full",SUMIFS($C$3:$C71,$D$3:$D71,I$2)))</f>
        <v>-</v>
      </c>
      <c r="J71" s="2" t="str">
        <f>IF(J$1&gt;$Z$4,"-",IF(COUNTIF($D$3:$D71,J$2)=$Z$3,"Full",SUMIFS($C$3:$C71,$D$3:$D71,J$2)))</f>
        <v>-</v>
      </c>
      <c r="K71" s="2" t="str">
        <f>IF(K$1&gt;$Z$4,"-",IF(COUNTIF($D$3:$D71,K$2)=$Z$3,"Full",SUMIFS($C$3:$C71,$D$3:$D71,K$2)))</f>
        <v>-</v>
      </c>
      <c r="L71" s="2" t="str">
        <f>IF(L$1&gt;$Z$4,"-",IF(COUNTIF($D$3:$D71,L$2)=$Z$3,"Full",SUMIFS($C$3:$C71,$D$3:$D71,L$2)))</f>
        <v>-</v>
      </c>
      <c r="M71" s="2" t="str">
        <f>IF(M$1&gt;$Z$4,"-",IF(COUNTIF($D$3:$D71,M$2)=$Z$3,"Full",SUMIFS($C$3:$C71,$D$3:$D71,M$2)))</f>
        <v>-</v>
      </c>
      <c r="N71" s="2" t="str">
        <f>IF(N$1&gt;$Z$4,"-",IF(COUNTIF($D$3:$D71,N$2)=$Z$3,"Full",SUMIFS($C$3:$C71,$D$3:$D71,N$2)))</f>
        <v>-</v>
      </c>
      <c r="O71" s="2" t="str">
        <f>IF(O$1&gt;$Z$4,"-",IF(COUNTIF($D$3:$D71,O$2)=$Z$3,"Full",SUMIFS($C$3:$C71,$D$3:$D71,O$2)))</f>
        <v>-</v>
      </c>
      <c r="P71" s="2" t="str">
        <f>IF(P$1&gt;$Z$4,"-",IF(COUNTIF($D$3:$D71,P$2)=$Z$3,"Full",SUMIFS($C$3:$C71,$D$3:$D71,P$2)))</f>
        <v>-</v>
      </c>
      <c r="Q71" s="2" t="str">
        <f>IF(Q$1&gt;$Z$4,"-",IF(COUNTIF($D$3:$D71,Q$2)=$Z$3,"Full",SUMIFS($C$3:$C71,$D$3:$D71,Q$2)))</f>
        <v>-</v>
      </c>
      <c r="R71" s="2" t="str">
        <f>IF(R$1&gt;$Z$4,"-",IF(COUNTIF($D$3:$D71,R$2)=$Z$3,"Full",SUMIFS($C$3:$C71,$D$3:$D71,R$2)))</f>
        <v>-</v>
      </c>
      <c r="S71" s="2" t="str">
        <f>IF(S$1&gt;$Z$4,"-",IF(COUNTIF($D$3:$D71,S$2)=$Z$3,"Full",SUMIFS($C$3:$C71,$D$3:$D71,S$2)))</f>
        <v>-</v>
      </c>
      <c r="T71" s="11" t="str">
        <f>IF(T$1&gt;$Z$4,"-",IF(COUNTIF($D$3:$D71,T$2)=$Z$3,"Full",SUMIFS($C$3:$C71,$D$3:$D71,T$2)))</f>
        <v>-</v>
      </c>
      <c r="W71" s="2" t="s">
        <v>131</v>
      </c>
    </row>
    <row r="72" spans="1:39" x14ac:dyDescent="0.25">
      <c r="A72" s="10">
        <f t="shared" si="154"/>
        <v>70</v>
      </c>
      <c r="B72" s="2" t="str">
        <v>Armenia</v>
      </c>
      <c r="C72" s="11">
        <v>0.25</v>
      </c>
      <c r="D72" s="14" t="str" cm="1">
        <f t="array" aca="1" ref="D72" ca="1">IFERROR(_xlfn.XLOOKUP(MIN(E71:INDIRECT($AA$4&amp;A72+1)),E71:INDIRECT($AA$4&amp;A72+1),$E$2:INDIRECT($AA$4&amp;"$2")),"-")</f>
        <v>-</v>
      </c>
      <c r="E72" s="10" t="str">
        <f ca="1">IF(E$1&gt;$Z$4,"-",IF(COUNTIF($D$3:$D72,E$2)=$Z$3,"Full",SUMIFS($C$3:$C72,$D$3:$D72,E$2)))</f>
        <v>Full</v>
      </c>
      <c r="F72" s="2" t="str">
        <f>IF(F$1&gt;$Z$4,"-",IF(COUNTIF($D$3:$D72,F$2)=$Z$3,"Full",SUMIFS($C$3:$C72,$D$3:$D72,F$2)))</f>
        <v>-</v>
      </c>
      <c r="G72" s="2" t="str">
        <f>IF(G$1&gt;$Z$4,"-",IF(COUNTIF($D$3:$D72,G$2)=$Z$3,"Full",SUMIFS($C$3:$C72,$D$3:$D72,G$2)))</f>
        <v>-</v>
      </c>
      <c r="H72" s="2" t="str">
        <f>IF(H$1&gt;$Z$4,"-",IF(COUNTIF($D$3:$D72,H$2)=$Z$3,"Full",SUMIFS($C$3:$C72,$D$3:$D72,H$2)))</f>
        <v>-</v>
      </c>
      <c r="I72" s="2" t="str">
        <f>IF(I$1&gt;$Z$4,"-",IF(COUNTIF($D$3:$D72,I$2)=$Z$3,"Full",SUMIFS($C$3:$C72,$D$3:$D72,I$2)))</f>
        <v>-</v>
      </c>
      <c r="J72" s="2" t="str">
        <f>IF(J$1&gt;$Z$4,"-",IF(COUNTIF($D$3:$D72,J$2)=$Z$3,"Full",SUMIFS($C$3:$C72,$D$3:$D72,J$2)))</f>
        <v>-</v>
      </c>
      <c r="K72" s="2" t="str">
        <f>IF(K$1&gt;$Z$4,"-",IF(COUNTIF($D$3:$D72,K$2)=$Z$3,"Full",SUMIFS($C$3:$C72,$D$3:$D72,K$2)))</f>
        <v>-</v>
      </c>
      <c r="L72" s="2" t="str">
        <f>IF(L$1&gt;$Z$4,"-",IF(COUNTIF($D$3:$D72,L$2)=$Z$3,"Full",SUMIFS($C$3:$C72,$D$3:$D72,L$2)))</f>
        <v>-</v>
      </c>
      <c r="M72" s="2" t="str">
        <f>IF(M$1&gt;$Z$4,"-",IF(COUNTIF($D$3:$D72,M$2)=$Z$3,"Full",SUMIFS($C$3:$C72,$D$3:$D72,M$2)))</f>
        <v>-</v>
      </c>
      <c r="N72" s="2" t="str">
        <f>IF(N$1&gt;$Z$4,"-",IF(COUNTIF($D$3:$D72,N$2)=$Z$3,"Full",SUMIFS($C$3:$C72,$D$3:$D72,N$2)))</f>
        <v>-</v>
      </c>
      <c r="O72" s="2" t="str">
        <f>IF(O$1&gt;$Z$4,"-",IF(COUNTIF($D$3:$D72,O$2)=$Z$3,"Full",SUMIFS($C$3:$C72,$D$3:$D72,O$2)))</f>
        <v>-</v>
      </c>
      <c r="P72" s="2" t="str">
        <f>IF(P$1&gt;$Z$4,"-",IF(COUNTIF($D$3:$D72,P$2)=$Z$3,"Full",SUMIFS($C$3:$C72,$D$3:$D72,P$2)))</f>
        <v>-</v>
      </c>
      <c r="Q72" s="2" t="str">
        <f>IF(Q$1&gt;$Z$4,"-",IF(COUNTIF($D$3:$D72,Q$2)=$Z$3,"Full",SUMIFS($C$3:$C72,$D$3:$D72,Q$2)))</f>
        <v>-</v>
      </c>
      <c r="R72" s="2" t="str">
        <f>IF(R$1&gt;$Z$4,"-",IF(COUNTIF($D$3:$D72,R$2)=$Z$3,"Full",SUMIFS($C$3:$C72,$D$3:$D72,R$2)))</f>
        <v>-</v>
      </c>
      <c r="S72" s="2" t="str">
        <f>IF(S$1&gt;$Z$4,"-",IF(COUNTIF($D$3:$D72,S$2)=$Z$3,"Full",SUMIFS($C$3:$C72,$D$3:$D72,S$2)))</f>
        <v>-</v>
      </c>
      <c r="T72" s="11" t="str">
        <f>IF(T$1&gt;$Z$4,"-",IF(COUNTIF($D$3:$D72,T$2)=$Z$3,"Full",SUMIFS($C$3:$C72,$D$3:$D72,T$2)))</f>
        <v>-</v>
      </c>
      <c r="W72" s="2" t="s">
        <v>132</v>
      </c>
    </row>
    <row r="73" spans="1:39" x14ac:dyDescent="0.25">
      <c r="A73" s="10">
        <f t="shared" si="154"/>
        <v>71</v>
      </c>
      <c r="B73" s="2" t="str">
        <v>Jordan</v>
      </c>
      <c r="C73" s="11">
        <v>0.25</v>
      </c>
      <c r="D73" s="14" t="str" cm="1">
        <f t="array" aca="1" ref="D73" ca="1">IFERROR(_xlfn.XLOOKUP(MIN(E72:INDIRECT($AA$4&amp;A73+1)),E72:INDIRECT($AA$4&amp;A73+1),$E$2:INDIRECT($AA$4&amp;"$2")),"-")</f>
        <v>-</v>
      </c>
      <c r="E73" s="10" t="str">
        <f ca="1">IF(E$1&gt;$Z$4,"-",IF(COUNTIF($D$3:$D73,E$2)=$Z$3,"Full",SUMIFS($C$3:$C73,$D$3:$D73,E$2)))</f>
        <v>Full</v>
      </c>
      <c r="F73" s="2" t="str">
        <f>IF(F$1&gt;$Z$4,"-",IF(COUNTIF($D$3:$D73,F$2)=$Z$3,"Full",SUMIFS($C$3:$C73,$D$3:$D73,F$2)))</f>
        <v>-</v>
      </c>
      <c r="G73" s="2" t="str">
        <f>IF(G$1&gt;$Z$4,"-",IF(COUNTIF($D$3:$D73,G$2)=$Z$3,"Full",SUMIFS($C$3:$C73,$D$3:$D73,G$2)))</f>
        <v>-</v>
      </c>
      <c r="H73" s="2" t="str">
        <f>IF(H$1&gt;$Z$4,"-",IF(COUNTIF($D$3:$D73,H$2)=$Z$3,"Full",SUMIFS($C$3:$C73,$D$3:$D73,H$2)))</f>
        <v>-</v>
      </c>
      <c r="I73" s="2" t="str">
        <f>IF(I$1&gt;$Z$4,"-",IF(COUNTIF($D$3:$D73,I$2)=$Z$3,"Full",SUMIFS($C$3:$C73,$D$3:$D73,I$2)))</f>
        <v>-</v>
      </c>
      <c r="J73" s="2" t="str">
        <f>IF(J$1&gt;$Z$4,"-",IF(COUNTIF($D$3:$D73,J$2)=$Z$3,"Full",SUMIFS($C$3:$C73,$D$3:$D73,J$2)))</f>
        <v>-</v>
      </c>
      <c r="K73" s="2" t="str">
        <f>IF(K$1&gt;$Z$4,"-",IF(COUNTIF($D$3:$D73,K$2)=$Z$3,"Full",SUMIFS($C$3:$C73,$D$3:$D73,K$2)))</f>
        <v>-</v>
      </c>
      <c r="L73" s="2" t="str">
        <f>IF(L$1&gt;$Z$4,"-",IF(COUNTIF($D$3:$D73,L$2)=$Z$3,"Full",SUMIFS($C$3:$C73,$D$3:$D73,L$2)))</f>
        <v>-</v>
      </c>
      <c r="M73" s="2" t="str">
        <f>IF(M$1&gt;$Z$4,"-",IF(COUNTIF($D$3:$D73,M$2)=$Z$3,"Full",SUMIFS($C$3:$C73,$D$3:$D73,M$2)))</f>
        <v>-</v>
      </c>
      <c r="N73" s="2" t="str">
        <f>IF(N$1&gt;$Z$4,"-",IF(COUNTIF($D$3:$D73,N$2)=$Z$3,"Full",SUMIFS($C$3:$C73,$D$3:$D73,N$2)))</f>
        <v>-</v>
      </c>
      <c r="O73" s="2" t="str">
        <f>IF(O$1&gt;$Z$4,"-",IF(COUNTIF($D$3:$D73,O$2)=$Z$3,"Full",SUMIFS($C$3:$C73,$D$3:$D73,O$2)))</f>
        <v>-</v>
      </c>
      <c r="P73" s="2" t="str">
        <f>IF(P$1&gt;$Z$4,"-",IF(COUNTIF($D$3:$D73,P$2)=$Z$3,"Full",SUMIFS($C$3:$C73,$D$3:$D73,P$2)))</f>
        <v>-</v>
      </c>
      <c r="Q73" s="2" t="str">
        <f>IF(Q$1&gt;$Z$4,"-",IF(COUNTIF($D$3:$D73,Q$2)=$Z$3,"Full",SUMIFS($C$3:$C73,$D$3:$D73,Q$2)))</f>
        <v>-</v>
      </c>
      <c r="R73" s="2" t="str">
        <f>IF(R$1&gt;$Z$4,"-",IF(COUNTIF($D$3:$D73,R$2)=$Z$3,"Full",SUMIFS($C$3:$C73,$D$3:$D73,R$2)))</f>
        <v>-</v>
      </c>
      <c r="S73" s="2" t="str">
        <f>IF(S$1&gt;$Z$4,"-",IF(COUNTIF($D$3:$D73,S$2)=$Z$3,"Full",SUMIFS($C$3:$C73,$D$3:$D73,S$2)))</f>
        <v>-</v>
      </c>
      <c r="T73" s="11" t="str">
        <f>IF(T$1&gt;$Z$4,"-",IF(COUNTIF($D$3:$D73,T$2)=$Z$3,"Full",SUMIFS($C$3:$C73,$D$3:$D73,T$2)))</f>
        <v>-</v>
      </c>
    </row>
    <row r="74" spans="1:39" x14ac:dyDescent="0.25">
      <c r="A74" s="10">
        <f t="shared" si="154"/>
        <v>72</v>
      </c>
      <c r="B74" s="2" t="str">
        <v>Ivory Coast</v>
      </c>
      <c r="C74" s="11">
        <v>0.25</v>
      </c>
      <c r="D74" s="14" t="str" cm="1">
        <f t="array" aca="1" ref="D74" ca="1">IFERROR(_xlfn.XLOOKUP(MIN(E73:INDIRECT($AA$4&amp;A74+1)),E73:INDIRECT($AA$4&amp;A74+1),$E$2:INDIRECT($AA$4&amp;"$2")),"-")</f>
        <v>-</v>
      </c>
      <c r="E74" s="10" t="str">
        <f ca="1">IF(E$1&gt;$Z$4,"-",IF(COUNTIF($D$3:$D74,E$2)=$Z$3,"Full",SUMIFS($C$3:$C74,$D$3:$D74,E$2)))</f>
        <v>Full</v>
      </c>
      <c r="F74" s="2" t="str">
        <f>IF(F$1&gt;$Z$4,"-",IF(COUNTIF($D$3:$D74,F$2)=$Z$3,"Full",SUMIFS($C$3:$C74,$D$3:$D74,F$2)))</f>
        <v>-</v>
      </c>
      <c r="G74" s="2" t="str">
        <f>IF(G$1&gt;$Z$4,"-",IF(COUNTIF($D$3:$D74,G$2)=$Z$3,"Full",SUMIFS($C$3:$C74,$D$3:$D74,G$2)))</f>
        <v>-</v>
      </c>
      <c r="H74" s="2" t="str">
        <f>IF(H$1&gt;$Z$4,"-",IF(COUNTIF($D$3:$D74,H$2)=$Z$3,"Full",SUMIFS($C$3:$C74,$D$3:$D74,H$2)))</f>
        <v>-</v>
      </c>
      <c r="I74" s="2" t="str">
        <f>IF(I$1&gt;$Z$4,"-",IF(COUNTIF($D$3:$D74,I$2)=$Z$3,"Full",SUMIFS($C$3:$C74,$D$3:$D74,I$2)))</f>
        <v>-</v>
      </c>
      <c r="J74" s="2" t="str">
        <f>IF(J$1&gt;$Z$4,"-",IF(COUNTIF($D$3:$D74,J$2)=$Z$3,"Full",SUMIFS($C$3:$C74,$D$3:$D74,J$2)))</f>
        <v>-</v>
      </c>
      <c r="K74" s="2" t="str">
        <f>IF(K$1&gt;$Z$4,"-",IF(COUNTIF($D$3:$D74,K$2)=$Z$3,"Full",SUMIFS($C$3:$C74,$D$3:$D74,K$2)))</f>
        <v>-</v>
      </c>
      <c r="L74" s="2" t="str">
        <f>IF(L$1&gt;$Z$4,"-",IF(COUNTIF($D$3:$D74,L$2)=$Z$3,"Full",SUMIFS($C$3:$C74,$D$3:$D74,L$2)))</f>
        <v>-</v>
      </c>
      <c r="M74" s="2" t="str">
        <f>IF(M$1&gt;$Z$4,"-",IF(COUNTIF($D$3:$D74,M$2)=$Z$3,"Full",SUMIFS($C$3:$C74,$D$3:$D74,M$2)))</f>
        <v>-</v>
      </c>
      <c r="N74" s="2" t="str">
        <f>IF(N$1&gt;$Z$4,"-",IF(COUNTIF($D$3:$D74,N$2)=$Z$3,"Full",SUMIFS($C$3:$C74,$D$3:$D74,N$2)))</f>
        <v>-</v>
      </c>
      <c r="O74" s="2" t="str">
        <f>IF(O$1&gt;$Z$4,"-",IF(COUNTIF($D$3:$D74,O$2)=$Z$3,"Full",SUMIFS($C$3:$C74,$D$3:$D74,O$2)))</f>
        <v>-</v>
      </c>
      <c r="P74" s="2" t="str">
        <f>IF(P$1&gt;$Z$4,"-",IF(COUNTIF($D$3:$D74,P$2)=$Z$3,"Full",SUMIFS($C$3:$C74,$D$3:$D74,P$2)))</f>
        <v>-</v>
      </c>
      <c r="Q74" s="2" t="str">
        <f>IF(Q$1&gt;$Z$4,"-",IF(COUNTIF($D$3:$D74,Q$2)=$Z$3,"Full",SUMIFS($C$3:$C74,$D$3:$D74,Q$2)))</f>
        <v>-</v>
      </c>
      <c r="R74" s="2" t="str">
        <f>IF(R$1&gt;$Z$4,"-",IF(COUNTIF($D$3:$D74,R$2)=$Z$3,"Full",SUMIFS($C$3:$C74,$D$3:$D74,R$2)))</f>
        <v>-</v>
      </c>
      <c r="S74" s="2" t="str">
        <f>IF(S$1&gt;$Z$4,"-",IF(COUNTIF($D$3:$D74,S$2)=$Z$3,"Full",SUMIFS($C$3:$C74,$D$3:$D74,S$2)))</f>
        <v>-</v>
      </c>
      <c r="T74" s="11" t="str">
        <f>IF(T$1&gt;$Z$4,"-",IF(COUNTIF($D$3:$D74,T$2)=$Z$3,"Full",SUMIFS($C$3:$C74,$D$3:$D74,T$2)))</f>
        <v>-</v>
      </c>
      <c r="W74" s="2" t="s">
        <v>140</v>
      </c>
      <c r="X74" s="2">
        <f>IF(Z62=0,1,2)</f>
        <v>1</v>
      </c>
    </row>
    <row r="75" spans="1:39" x14ac:dyDescent="0.25">
      <c r="A75" s="10">
        <f t="shared" si="154"/>
        <v>73</v>
      </c>
      <c r="B75" s="2" t="str">
        <v>Mongolia</v>
      </c>
      <c r="C75" s="11">
        <v>0.17</v>
      </c>
      <c r="D75" s="14" t="str" cm="1">
        <f t="array" aca="1" ref="D75" ca="1">IFERROR(_xlfn.XLOOKUP(MIN(E74:INDIRECT($AA$4&amp;A75+1)),E74:INDIRECT($AA$4&amp;A75+1),$E$2:INDIRECT($AA$4&amp;"$2")),"-")</f>
        <v>-</v>
      </c>
      <c r="E75" s="10" t="str">
        <f ca="1">IF(E$1&gt;$Z$4,"-",IF(COUNTIF($D$3:$D75,E$2)=$Z$3,"Full",SUMIFS($C$3:$C75,$D$3:$D75,E$2)))</f>
        <v>Full</v>
      </c>
      <c r="F75" s="2" t="str">
        <f>IF(F$1&gt;$Z$4,"-",IF(COUNTIF($D$3:$D75,F$2)=$Z$3,"Full",SUMIFS($C$3:$C75,$D$3:$D75,F$2)))</f>
        <v>-</v>
      </c>
      <c r="G75" s="2" t="str">
        <f>IF(G$1&gt;$Z$4,"-",IF(COUNTIF($D$3:$D75,G$2)=$Z$3,"Full",SUMIFS($C$3:$C75,$D$3:$D75,G$2)))</f>
        <v>-</v>
      </c>
      <c r="H75" s="2" t="str">
        <f>IF(H$1&gt;$Z$4,"-",IF(COUNTIF($D$3:$D75,H$2)=$Z$3,"Full",SUMIFS($C$3:$C75,$D$3:$D75,H$2)))</f>
        <v>-</v>
      </c>
      <c r="I75" s="2" t="str">
        <f>IF(I$1&gt;$Z$4,"-",IF(COUNTIF($D$3:$D75,I$2)=$Z$3,"Full",SUMIFS($C$3:$C75,$D$3:$D75,I$2)))</f>
        <v>-</v>
      </c>
      <c r="J75" s="2" t="str">
        <f>IF(J$1&gt;$Z$4,"-",IF(COUNTIF($D$3:$D75,J$2)=$Z$3,"Full",SUMIFS($C$3:$C75,$D$3:$D75,J$2)))</f>
        <v>-</v>
      </c>
      <c r="K75" s="2" t="str">
        <f>IF(K$1&gt;$Z$4,"-",IF(COUNTIF($D$3:$D75,K$2)=$Z$3,"Full",SUMIFS($C$3:$C75,$D$3:$D75,K$2)))</f>
        <v>-</v>
      </c>
      <c r="L75" s="2" t="str">
        <f>IF(L$1&gt;$Z$4,"-",IF(COUNTIF($D$3:$D75,L$2)=$Z$3,"Full",SUMIFS($C$3:$C75,$D$3:$D75,L$2)))</f>
        <v>-</v>
      </c>
      <c r="M75" s="2" t="str">
        <f>IF(M$1&gt;$Z$4,"-",IF(COUNTIF($D$3:$D75,M$2)=$Z$3,"Full",SUMIFS($C$3:$C75,$D$3:$D75,M$2)))</f>
        <v>-</v>
      </c>
      <c r="N75" s="2" t="str">
        <f>IF(N$1&gt;$Z$4,"-",IF(COUNTIF($D$3:$D75,N$2)=$Z$3,"Full",SUMIFS($C$3:$C75,$D$3:$D75,N$2)))</f>
        <v>-</v>
      </c>
      <c r="O75" s="2" t="str">
        <f>IF(O$1&gt;$Z$4,"-",IF(COUNTIF($D$3:$D75,O$2)=$Z$3,"Full",SUMIFS($C$3:$C75,$D$3:$D75,O$2)))</f>
        <v>-</v>
      </c>
      <c r="P75" s="2" t="str">
        <f>IF(P$1&gt;$Z$4,"-",IF(COUNTIF($D$3:$D75,P$2)=$Z$3,"Full",SUMIFS($C$3:$C75,$D$3:$D75,P$2)))</f>
        <v>-</v>
      </c>
      <c r="Q75" s="2" t="str">
        <f>IF(Q$1&gt;$Z$4,"-",IF(COUNTIF($D$3:$D75,Q$2)=$Z$3,"Full",SUMIFS($C$3:$C75,$D$3:$D75,Q$2)))</f>
        <v>-</v>
      </c>
      <c r="R75" s="2" t="str">
        <f>IF(R$1&gt;$Z$4,"-",IF(COUNTIF($D$3:$D75,R$2)=$Z$3,"Full",SUMIFS($C$3:$C75,$D$3:$D75,R$2)))</f>
        <v>-</v>
      </c>
      <c r="S75" s="2" t="str">
        <f>IF(S$1&gt;$Z$4,"-",IF(COUNTIF($D$3:$D75,S$2)=$Z$3,"Full",SUMIFS($C$3:$C75,$D$3:$D75,S$2)))</f>
        <v>-</v>
      </c>
      <c r="T75" s="11" t="str">
        <f>IF(T$1&gt;$Z$4,"-",IF(COUNTIF($D$3:$D75,T$2)=$Z$3,"Full",SUMIFS($C$3:$C75,$D$3:$D75,T$2)))</f>
        <v>-</v>
      </c>
    </row>
    <row r="76" spans="1:39" x14ac:dyDescent="0.25">
      <c r="A76" s="10">
        <f t="shared" si="154"/>
        <v>74</v>
      </c>
      <c r="B76" s="2" t="str">
        <v>Grenada</v>
      </c>
      <c r="C76" s="11">
        <v>0.17</v>
      </c>
      <c r="D76" s="14" t="str" cm="1">
        <f t="array" aca="1" ref="D76" ca="1">IFERROR(_xlfn.XLOOKUP(MIN(E75:INDIRECT($AA$4&amp;A76+1)),E75:INDIRECT($AA$4&amp;A76+1),$E$2:INDIRECT($AA$4&amp;"$2")),"-")</f>
        <v>-</v>
      </c>
      <c r="E76" s="10" t="str">
        <f ca="1">IF(E$1&gt;$Z$4,"-",IF(COUNTIF($D$3:$D76,E$2)=$Z$3,"Full",SUMIFS($C$3:$C76,$D$3:$D76,E$2)))</f>
        <v>Full</v>
      </c>
      <c r="F76" s="2" t="str">
        <f>IF(F$1&gt;$Z$4,"-",IF(COUNTIF($D$3:$D76,F$2)=$Z$3,"Full",SUMIFS($C$3:$C76,$D$3:$D76,F$2)))</f>
        <v>-</v>
      </c>
      <c r="G76" s="2" t="str">
        <f>IF(G$1&gt;$Z$4,"-",IF(COUNTIF($D$3:$D76,G$2)=$Z$3,"Full",SUMIFS($C$3:$C76,$D$3:$D76,G$2)))</f>
        <v>-</v>
      </c>
      <c r="H76" s="2" t="str">
        <f>IF(H$1&gt;$Z$4,"-",IF(COUNTIF($D$3:$D76,H$2)=$Z$3,"Full",SUMIFS($C$3:$C76,$D$3:$D76,H$2)))</f>
        <v>-</v>
      </c>
      <c r="I76" s="2" t="str">
        <f>IF(I$1&gt;$Z$4,"-",IF(COUNTIF($D$3:$D76,I$2)=$Z$3,"Full",SUMIFS($C$3:$C76,$D$3:$D76,I$2)))</f>
        <v>-</v>
      </c>
      <c r="J76" s="2" t="str">
        <f>IF(J$1&gt;$Z$4,"-",IF(COUNTIF($D$3:$D76,J$2)=$Z$3,"Full",SUMIFS($C$3:$C76,$D$3:$D76,J$2)))</f>
        <v>-</v>
      </c>
      <c r="K76" s="2" t="str">
        <f>IF(K$1&gt;$Z$4,"-",IF(COUNTIF($D$3:$D76,K$2)=$Z$3,"Full",SUMIFS($C$3:$C76,$D$3:$D76,K$2)))</f>
        <v>-</v>
      </c>
      <c r="L76" s="2" t="str">
        <f>IF(L$1&gt;$Z$4,"-",IF(COUNTIF($D$3:$D76,L$2)=$Z$3,"Full",SUMIFS($C$3:$C76,$D$3:$D76,L$2)))</f>
        <v>-</v>
      </c>
      <c r="M76" s="2" t="str">
        <f>IF(M$1&gt;$Z$4,"-",IF(COUNTIF($D$3:$D76,M$2)=$Z$3,"Full",SUMIFS($C$3:$C76,$D$3:$D76,M$2)))</f>
        <v>-</v>
      </c>
      <c r="N76" s="2" t="str">
        <f>IF(N$1&gt;$Z$4,"-",IF(COUNTIF($D$3:$D76,N$2)=$Z$3,"Full",SUMIFS($C$3:$C76,$D$3:$D76,N$2)))</f>
        <v>-</v>
      </c>
      <c r="O76" s="2" t="str">
        <f>IF(O$1&gt;$Z$4,"-",IF(COUNTIF($D$3:$D76,O$2)=$Z$3,"Full",SUMIFS($C$3:$C76,$D$3:$D76,O$2)))</f>
        <v>-</v>
      </c>
      <c r="P76" s="2" t="str">
        <f>IF(P$1&gt;$Z$4,"-",IF(COUNTIF($D$3:$D76,P$2)=$Z$3,"Full",SUMIFS($C$3:$C76,$D$3:$D76,P$2)))</f>
        <v>-</v>
      </c>
      <c r="Q76" s="2" t="str">
        <f>IF(Q$1&gt;$Z$4,"-",IF(COUNTIF($D$3:$D76,Q$2)=$Z$3,"Full",SUMIFS($C$3:$C76,$D$3:$D76,Q$2)))</f>
        <v>-</v>
      </c>
      <c r="R76" s="2" t="str">
        <f>IF(R$1&gt;$Z$4,"-",IF(COUNTIF($D$3:$D76,R$2)=$Z$3,"Full",SUMIFS($C$3:$C76,$D$3:$D76,R$2)))</f>
        <v>-</v>
      </c>
      <c r="S76" s="2" t="str">
        <f>IF(S$1&gt;$Z$4,"-",IF(COUNTIF($D$3:$D76,S$2)=$Z$3,"Full",SUMIFS($C$3:$C76,$D$3:$D76,S$2)))</f>
        <v>-</v>
      </c>
      <c r="T76" s="11" t="str">
        <f>IF(T$1&gt;$Z$4,"-",IF(COUNTIF($D$3:$D76,T$2)=$Z$3,"Full",SUMIFS($C$3:$C76,$D$3:$D76,T$2)))</f>
        <v>-</v>
      </c>
    </row>
    <row r="77" spans="1:39" x14ac:dyDescent="0.25">
      <c r="A77" s="10">
        <f t="shared" si="154"/>
        <v>75</v>
      </c>
      <c r="B77" s="2" t="str">
        <v>Finland</v>
      </c>
      <c r="C77" s="11">
        <v>0.08</v>
      </c>
      <c r="D77" s="14" t="str" cm="1">
        <f t="array" aca="1" ref="D77" ca="1">IFERROR(_xlfn.XLOOKUP(MIN(E76:INDIRECT($AA$4&amp;A77+1)),E76:INDIRECT($AA$4&amp;A77+1),$E$2:INDIRECT($AA$4&amp;"$2")),"-")</f>
        <v>-</v>
      </c>
      <c r="E77" s="10" t="str">
        <f ca="1">IF(E$1&gt;$Z$4,"-",IF(COUNTIF($D$3:$D77,E$2)=$Z$3,"Full",SUMIFS($C$3:$C77,$D$3:$D77,E$2)))</f>
        <v>Full</v>
      </c>
      <c r="F77" s="2" t="str">
        <f>IF(F$1&gt;$Z$4,"-",IF(COUNTIF($D$3:$D77,F$2)=$Z$3,"Full",SUMIFS($C$3:$C77,$D$3:$D77,F$2)))</f>
        <v>-</v>
      </c>
      <c r="G77" s="2" t="str">
        <f>IF(G$1&gt;$Z$4,"-",IF(COUNTIF($D$3:$D77,G$2)=$Z$3,"Full",SUMIFS($C$3:$C77,$D$3:$D77,G$2)))</f>
        <v>-</v>
      </c>
      <c r="H77" s="2" t="str">
        <f>IF(H$1&gt;$Z$4,"-",IF(COUNTIF($D$3:$D77,H$2)=$Z$3,"Full",SUMIFS($C$3:$C77,$D$3:$D77,H$2)))</f>
        <v>-</v>
      </c>
      <c r="I77" s="2" t="str">
        <f>IF(I$1&gt;$Z$4,"-",IF(COUNTIF($D$3:$D77,I$2)=$Z$3,"Full",SUMIFS($C$3:$C77,$D$3:$D77,I$2)))</f>
        <v>-</v>
      </c>
      <c r="J77" s="2" t="str">
        <f>IF(J$1&gt;$Z$4,"-",IF(COUNTIF($D$3:$D77,J$2)=$Z$3,"Full",SUMIFS($C$3:$C77,$D$3:$D77,J$2)))</f>
        <v>-</v>
      </c>
      <c r="K77" s="2" t="str">
        <f>IF(K$1&gt;$Z$4,"-",IF(COUNTIF($D$3:$D77,K$2)=$Z$3,"Full",SUMIFS($C$3:$C77,$D$3:$D77,K$2)))</f>
        <v>-</v>
      </c>
      <c r="L77" s="2" t="str">
        <f>IF(L$1&gt;$Z$4,"-",IF(COUNTIF($D$3:$D77,L$2)=$Z$3,"Full",SUMIFS($C$3:$C77,$D$3:$D77,L$2)))</f>
        <v>-</v>
      </c>
      <c r="M77" s="2" t="str">
        <f>IF(M$1&gt;$Z$4,"-",IF(COUNTIF($D$3:$D77,M$2)=$Z$3,"Full",SUMIFS($C$3:$C77,$D$3:$D77,M$2)))</f>
        <v>-</v>
      </c>
      <c r="N77" s="2" t="str">
        <f>IF(N$1&gt;$Z$4,"-",IF(COUNTIF($D$3:$D77,N$2)=$Z$3,"Full",SUMIFS($C$3:$C77,$D$3:$D77,N$2)))</f>
        <v>-</v>
      </c>
      <c r="O77" s="2" t="str">
        <f>IF(O$1&gt;$Z$4,"-",IF(COUNTIF($D$3:$D77,O$2)=$Z$3,"Full",SUMIFS($C$3:$C77,$D$3:$D77,O$2)))</f>
        <v>-</v>
      </c>
      <c r="P77" s="2" t="str">
        <f>IF(P$1&gt;$Z$4,"-",IF(COUNTIF($D$3:$D77,P$2)=$Z$3,"Full",SUMIFS($C$3:$C77,$D$3:$D77,P$2)))</f>
        <v>-</v>
      </c>
      <c r="Q77" s="2" t="str">
        <f>IF(Q$1&gt;$Z$4,"-",IF(COUNTIF($D$3:$D77,Q$2)=$Z$3,"Full",SUMIFS($C$3:$C77,$D$3:$D77,Q$2)))</f>
        <v>-</v>
      </c>
      <c r="R77" s="2" t="str">
        <f>IF(R$1&gt;$Z$4,"-",IF(COUNTIF($D$3:$D77,R$2)=$Z$3,"Full",SUMIFS($C$3:$C77,$D$3:$D77,R$2)))</f>
        <v>-</v>
      </c>
      <c r="S77" s="2" t="str">
        <f>IF(S$1&gt;$Z$4,"-",IF(COUNTIF($D$3:$D77,S$2)=$Z$3,"Full",SUMIFS($C$3:$C77,$D$3:$D77,S$2)))</f>
        <v>-</v>
      </c>
      <c r="T77" s="11" t="str">
        <f>IF(T$1&gt;$Z$4,"-",IF(COUNTIF($D$3:$D77,T$2)=$Z$3,"Full",SUMIFS($C$3:$C77,$D$3:$D77,T$2)))</f>
        <v>-</v>
      </c>
    </row>
    <row r="78" spans="1:39" x14ac:dyDescent="0.25">
      <c r="A78" s="10">
        <f t="shared" si="154"/>
        <v>76</v>
      </c>
      <c r="B78" s="2" t="str">
        <v>AIN</v>
      </c>
      <c r="C78" s="11">
        <v>0</v>
      </c>
      <c r="D78" s="14" t="str" cm="1">
        <f t="array" aca="1" ref="D78" ca="1">IFERROR(_xlfn.XLOOKUP(MIN(E77:INDIRECT($AA$4&amp;A78+1)),E77:INDIRECT($AA$4&amp;A78+1),$E$2:INDIRECT($AA$4&amp;"$2")),"-")</f>
        <v>-</v>
      </c>
      <c r="E78" s="10" t="str">
        <f ca="1">IF(E$1&gt;$Z$4,"-",IF(COUNTIF($D$3:$D78,E$2)=$Z$3,"Full",SUMIFS($C$3:$C78,$D$3:$D78,E$2)))</f>
        <v>Full</v>
      </c>
      <c r="F78" s="2" t="str">
        <f>IF(F$1&gt;$Z$4,"-",IF(COUNTIF($D$3:$D78,F$2)=$Z$3,"Full",SUMIFS($C$3:$C78,$D$3:$D78,F$2)))</f>
        <v>-</v>
      </c>
      <c r="G78" s="2" t="str">
        <f>IF(G$1&gt;$Z$4,"-",IF(COUNTIF($D$3:$D78,G$2)=$Z$3,"Full",SUMIFS($C$3:$C78,$D$3:$D78,G$2)))</f>
        <v>-</v>
      </c>
      <c r="H78" s="2" t="str">
        <f>IF(H$1&gt;$Z$4,"-",IF(COUNTIF($D$3:$D78,H$2)=$Z$3,"Full",SUMIFS($C$3:$C78,$D$3:$D78,H$2)))</f>
        <v>-</v>
      </c>
      <c r="I78" s="2" t="str">
        <f>IF(I$1&gt;$Z$4,"-",IF(COUNTIF($D$3:$D78,I$2)=$Z$3,"Full",SUMIFS($C$3:$C78,$D$3:$D78,I$2)))</f>
        <v>-</v>
      </c>
      <c r="J78" s="2" t="str">
        <f>IF(J$1&gt;$Z$4,"-",IF(COUNTIF($D$3:$D78,J$2)=$Z$3,"Full",SUMIFS($C$3:$C78,$D$3:$D78,J$2)))</f>
        <v>-</v>
      </c>
      <c r="K78" s="2" t="str">
        <f>IF(K$1&gt;$Z$4,"-",IF(COUNTIF($D$3:$D78,K$2)=$Z$3,"Full",SUMIFS($C$3:$C78,$D$3:$D78,K$2)))</f>
        <v>-</v>
      </c>
      <c r="L78" s="2" t="str">
        <f>IF(L$1&gt;$Z$4,"-",IF(COUNTIF($D$3:$D78,L$2)=$Z$3,"Full",SUMIFS($C$3:$C78,$D$3:$D78,L$2)))</f>
        <v>-</v>
      </c>
      <c r="M78" s="2" t="str">
        <f>IF(M$1&gt;$Z$4,"-",IF(COUNTIF($D$3:$D78,M$2)=$Z$3,"Full",SUMIFS($C$3:$C78,$D$3:$D78,M$2)))</f>
        <v>-</v>
      </c>
      <c r="N78" s="2" t="str">
        <f>IF(N$1&gt;$Z$4,"-",IF(COUNTIF($D$3:$D78,N$2)=$Z$3,"Full",SUMIFS($C$3:$C78,$D$3:$D78,N$2)))</f>
        <v>-</v>
      </c>
      <c r="O78" s="2" t="str">
        <f>IF(O$1&gt;$Z$4,"-",IF(COUNTIF($D$3:$D78,O$2)=$Z$3,"Full",SUMIFS($C$3:$C78,$D$3:$D78,O$2)))</f>
        <v>-</v>
      </c>
      <c r="P78" s="2" t="str">
        <f>IF(P$1&gt;$Z$4,"-",IF(COUNTIF($D$3:$D78,P$2)=$Z$3,"Full",SUMIFS($C$3:$C78,$D$3:$D78,P$2)))</f>
        <v>-</v>
      </c>
      <c r="Q78" s="2" t="str">
        <f>IF(Q$1&gt;$Z$4,"-",IF(COUNTIF($D$3:$D78,Q$2)=$Z$3,"Full",SUMIFS($C$3:$C78,$D$3:$D78,Q$2)))</f>
        <v>-</v>
      </c>
      <c r="R78" s="2" t="str">
        <f>IF(R$1&gt;$Z$4,"-",IF(COUNTIF($D$3:$D78,R$2)=$Z$3,"Full",SUMIFS($C$3:$C78,$D$3:$D78,R$2)))</f>
        <v>-</v>
      </c>
      <c r="S78" s="2" t="str">
        <f>IF(S$1&gt;$Z$4,"-",IF(COUNTIF($D$3:$D78,S$2)=$Z$3,"Full",SUMIFS($C$3:$C78,$D$3:$D78,S$2)))</f>
        <v>-</v>
      </c>
      <c r="T78" s="11" t="str">
        <f>IF(T$1&gt;$Z$4,"-",IF(COUNTIF($D$3:$D78,T$2)=$Z$3,"Full",SUMIFS($C$3:$C78,$D$3:$D78,T$2)))</f>
        <v>-</v>
      </c>
    </row>
    <row r="79" spans="1:39" x14ac:dyDescent="0.25">
      <c r="A79" s="10">
        <f t="shared" si="154"/>
        <v>77</v>
      </c>
      <c r="B79" s="2" t="str">
        <v>Kyrgyzstan</v>
      </c>
      <c r="C79" s="11">
        <v>0</v>
      </c>
      <c r="D79" s="14" t="str" cm="1">
        <f t="array" aca="1" ref="D79" ca="1">IFERROR(_xlfn.XLOOKUP(MIN(E78:INDIRECT($AA$4&amp;A79+1)),E78:INDIRECT($AA$4&amp;A79+1),$E$2:INDIRECT($AA$4&amp;"$2")),"-")</f>
        <v>-</v>
      </c>
      <c r="E79" s="10" t="str">
        <f ca="1">IF(E$1&gt;$Z$4,"-",IF(COUNTIF($D$3:$D79,E$2)=$Z$3,"Full",SUMIFS($C$3:$C79,$D$3:$D79,E$2)))</f>
        <v>Full</v>
      </c>
      <c r="F79" s="2" t="str">
        <f>IF(F$1&gt;$Z$4,"-",IF(COUNTIF($D$3:$D79,F$2)=$Z$3,"Full",SUMIFS($C$3:$C79,$D$3:$D79,F$2)))</f>
        <v>-</v>
      </c>
      <c r="G79" s="2" t="str">
        <f>IF(G$1&gt;$Z$4,"-",IF(COUNTIF($D$3:$D79,G$2)=$Z$3,"Full",SUMIFS($C$3:$C79,$D$3:$D79,G$2)))</f>
        <v>-</v>
      </c>
      <c r="H79" s="2" t="str">
        <f>IF(H$1&gt;$Z$4,"-",IF(COUNTIF($D$3:$D79,H$2)=$Z$3,"Full",SUMIFS($C$3:$C79,$D$3:$D79,H$2)))</f>
        <v>-</v>
      </c>
      <c r="I79" s="2" t="str">
        <f>IF(I$1&gt;$Z$4,"-",IF(COUNTIF($D$3:$D79,I$2)=$Z$3,"Full",SUMIFS($C$3:$C79,$D$3:$D79,I$2)))</f>
        <v>-</v>
      </c>
      <c r="J79" s="2" t="str">
        <f>IF(J$1&gt;$Z$4,"-",IF(COUNTIF($D$3:$D79,J$2)=$Z$3,"Full",SUMIFS($C$3:$C79,$D$3:$D79,J$2)))</f>
        <v>-</v>
      </c>
      <c r="K79" s="2" t="str">
        <f>IF(K$1&gt;$Z$4,"-",IF(COUNTIF($D$3:$D79,K$2)=$Z$3,"Full",SUMIFS($C$3:$C79,$D$3:$D79,K$2)))</f>
        <v>-</v>
      </c>
      <c r="L79" s="2" t="str">
        <f>IF(L$1&gt;$Z$4,"-",IF(COUNTIF($D$3:$D79,L$2)=$Z$3,"Full",SUMIFS($C$3:$C79,$D$3:$D79,L$2)))</f>
        <v>-</v>
      </c>
      <c r="M79" s="2" t="str">
        <f>IF(M$1&gt;$Z$4,"-",IF(COUNTIF($D$3:$D79,M$2)=$Z$3,"Full",SUMIFS($C$3:$C79,$D$3:$D79,M$2)))</f>
        <v>-</v>
      </c>
      <c r="N79" s="2" t="str">
        <f>IF(N$1&gt;$Z$4,"-",IF(COUNTIF($D$3:$D79,N$2)=$Z$3,"Full",SUMIFS($C$3:$C79,$D$3:$D79,N$2)))</f>
        <v>-</v>
      </c>
      <c r="O79" s="2" t="str">
        <f>IF(O$1&gt;$Z$4,"-",IF(COUNTIF($D$3:$D79,O$2)=$Z$3,"Full",SUMIFS($C$3:$C79,$D$3:$D79,O$2)))</f>
        <v>-</v>
      </c>
      <c r="P79" s="2" t="str">
        <f>IF(P$1&gt;$Z$4,"-",IF(COUNTIF($D$3:$D79,P$2)=$Z$3,"Full",SUMIFS($C$3:$C79,$D$3:$D79,P$2)))</f>
        <v>-</v>
      </c>
      <c r="Q79" s="2" t="str">
        <f>IF(Q$1&gt;$Z$4,"-",IF(COUNTIF($D$3:$D79,Q$2)=$Z$3,"Full",SUMIFS($C$3:$C79,$D$3:$D79,Q$2)))</f>
        <v>-</v>
      </c>
      <c r="R79" s="2" t="str">
        <f>IF(R$1&gt;$Z$4,"-",IF(COUNTIF($D$3:$D79,R$2)=$Z$3,"Full",SUMIFS($C$3:$C79,$D$3:$D79,R$2)))</f>
        <v>-</v>
      </c>
      <c r="S79" s="2" t="str">
        <f>IF(S$1&gt;$Z$4,"-",IF(COUNTIF($D$3:$D79,S$2)=$Z$3,"Full",SUMIFS($C$3:$C79,$D$3:$D79,S$2)))</f>
        <v>-</v>
      </c>
      <c r="T79" s="11" t="str">
        <f>IF(T$1&gt;$Z$4,"-",IF(COUNTIF($D$3:$D79,T$2)=$Z$3,"Full",SUMIFS($C$3:$C79,$D$3:$D79,T$2)))</f>
        <v>-</v>
      </c>
    </row>
    <row r="80" spans="1:39" x14ac:dyDescent="0.25">
      <c r="A80" s="10">
        <f t="shared" si="154"/>
        <v>78</v>
      </c>
      <c r="B80" s="2" t="str">
        <v>San Marino</v>
      </c>
      <c r="C80" s="11">
        <v>0</v>
      </c>
      <c r="D80" s="14" t="str" cm="1">
        <f t="array" aca="1" ref="D80" ca="1">IFERROR(_xlfn.XLOOKUP(MIN(E79:INDIRECT($AA$4&amp;A80+1)),E79:INDIRECT($AA$4&amp;A80+1),$E$2:INDIRECT($AA$4&amp;"$2")),"-")</f>
        <v>-</v>
      </c>
      <c r="E80" s="10" t="str">
        <f ca="1">IF(E$1&gt;$Z$4,"-",IF(COUNTIF($D$3:$D80,E$2)=$Z$3,"Full",SUMIFS($C$3:$C80,$D$3:$D80,E$2)))</f>
        <v>Full</v>
      </c>
      <c r="F80" s="2" t="str">
        <f>IF(F$1&gt;$Z$4,"-",IF(COUNTIF($D$3:$D80,F$2)=$Z$3,"Full",SUMIFS($C$3:$C80,$D$3:$D80,F$2)))</f>
        <v>-</v>
      </c>
      <c r="G80" s="2" t="str">
        <f>IF(G$1&gt;$Z$4,"-",IF(COUNTIF($D$3:$D80,G$2)=$Z$3,"Full",SUMIFS($C$3:$C80,$D$3:$D80,G$2)))</f>
        <v>-</v>
      </c>
      <c r="H80" s="2" t="str">
        <f>IF(H$1&gt;$Z$4,"-",IF(COUNTIF($D$3:$D80,H$2)=$Z$3,"Full",SUMIFS($C$3:$C80,$D$3:$D80,H$2)))</f>
        <v>-</v>
      </c>
      <c r="I80" s="2" t="str">
        <f>IF(I$1&gt;$Z$4,"-",IF(COUNTIF($D$3:$D80,I$2)=$Z$3,"Full",SUMIFS($C$3:$C80,$D$3:$D80,I$2)))</f>
        <v>-</v>
      </c>
      <c r="J80" s="2" t="str">
        <f>IF(J$1&gt;$Z$4,"-",IF(COUNTIF($D$3:$D80,J$2)=$Z$3,"Full",SUMIFS($C$3:$C80,$D$3:$D80,J$2)))</f>
        <v>-</v>
      </c>
      <c r="K80" s="2" t="str">
        <f>IF(K$1&gt;$Z$4,"-",IF(COUNTIF($D$3:$D80,K$2)=$Z$3,"Full",SUMIFS($C$3:$C80,$D$3:$D80,K$2)))</f>
        <v>-</v>
      </c>
      <c r="L80" s="2" t="str">
        <f>IF(L$1&gt;$Z$4,"-",IF(COUNTIF($D$3:$D80,L$2)=$Z$3,"Full",SUMIFS($C$3:$C80,$D$3:$D80,L$2)))</f>
        <v>-</v>
      </c>
      <c r="M80" s="2" t="str">
        <f>IF(M$1&gt;$Z$4,"-",IF(COUNTIF($D$3:$D80,M$2)=$Z$3,"Full",SUMIFS($C$3:$C80,$D$3:$D80,M$2)))</f>
        <v>-</v>
      </c>
      <c r="N80" s="2" t="str">
        <f>IF(N$1&gt;$Z$4,"-",IF(COUNTIF($D$3:$D80,N$2)=$Z$3,"Full",SUMIFS($C$3:$C80,$D$3:$D80,N$2)))</f>
        <v>-</v>
      </c>
      <c r="O80" s="2" t="str">
        <f>IF(O$1&gt;$Z$4,"-",IF(COUNTIF($D$3:$D80,O$2)=$Z$3,"Full",SUMIFS($C$3:$C80,$D$3:$D80,O$2)))</f>
        <v>-</v>
      </c>
      <c r="P80" s="2" t="str">
        <f>IF(P$1&gt;$Z$4,"-",IF(COUNTIF($D$3:$D80,P$2)=$Z$3,"Full",SUMIFS($C$3:$C80,$D$3:$D80,P$2)))</f>
        <v>-</v>
      </c>
      <c r="Q80" s="2" t="str">
        <f>IF(Q$1&gt;$Z$4,"-",IF(COUNTIF($D$3:$D80,Q$2)=$Z$3,"Full",SUMIFS($C$3:$C80,$D$3:$D80,Q$2)))</f>
        <v>-</v>
      </c>
      <c r="R80" s="2" t="str">
        <f>IF(R$1&gt;$Z$4,"-",IF(COUNTIF($D$3:$D80,R$2)=$Z$3,"Full",SUMIFS($C$3:$C80,$D$3:$D80,R$2)))</f>
        <v>-</v>
      </c>
      <c r="S80" s="2" t="str">
        <f>IF(S$1&gt;$Z$4,"-",IF(COUNTIF($D$3:$D80,S$2)=$Z$3,"Full",SUMIFS($C$3:$C80,$D$3:$D80,S$2)))</f>
        <v>-</v>
      </c>
      <c r="T80" s="11" t="str">
        <f>IF(T$1&gt;$Z$4,"-",IF(COUNTIF($D$3:$D80,T$2)=$Z$3,"Full",SUMIFS($C$3:$C80,$D$3:$D80,T$2)))</f>
        <v>-</v>
      </c>
    </row>
    <row r="81" spans="1:20" x14ac:dyDescent="0.25">
      <c r="A81" s="10">
        <f t="shared" si="154"/>
        <v>79</v>
      </c>
      <c r="B81" s="2" t="str">
        <v>Malaysia</v>
      </c>
      <c r="C81" s="11">
        <v>0</v>
      </c>
      <c r="D81" s="14" t="str" cm="1">
        <f t="array" aca="1" ref="D81" ca="1">IFERROR(_xlfn.XLOOKUP(MIN(E80:INDIRECT($AA$4&amp;A81+1)),E80:INDIRECT($AA$4&amp;A81+1),$E$2:INDIRECT($AA$4&amp;"$2")),"-")</f>
        <v>-</v>
      </c>
      <c r="E81" s="10" t="str">
        <f ca="1">IF(E$1&gt;$Z$4,"-",IF(COUNTIF($D$3:$D81,E$2)=$Z$3,"Full",SUMIFS($C$3:$C81,$D$3:$D81,E$2)))</f>
        <v>Full</v>
      </c>
      <c r="F81" s="2" t="str">
        <f>IF(F$1&gt;$Z$4,"-",IF(COUNTIF($D$3:$D81,F$2)=$Z$3,"Full",SUMIFS($C$3:$C81,$D$3:$D81,F$2)))</f>
        <v>-</v>
      </c>
      <c r="G81" s="2" t="str">
        <f>IF(G$1&gt;$Z$4,"-",IF(COUNTIF($D$3:$D81,G$2)=$Z$3,"Full",SUMIFS($C$3:$C81,$D$3:$D81,G$2)))</f>
        <v>-</v>
      </c>
      <c r="H81" s="2" t="str">
        <f>IF(H$1&gt;$Z$4,"-",IF(COUNTIF($D$3:$D81,H$2)=$Z$3,"Full",SUMIFS($C$3:$C81,$D$3:$D81,H$2)))</f>
        <v>-</v>
      </c>
      <c r="I81" s="2" t="str">
        <f>IF(I$1&gt;$Z$4,"-",IF(COUNTIF($D$3:$D81,I$2)=$Z$3,"Full",SUMIFS($C$3:$C81,$D$3:$D81,I$2)))</f>
        <v>-</v>
      </c>
      <c r="J81" s="2" t="str">
        <f>IF(J$1&gt;$Z$4,"-",IF(COUNTIF($D$3:$D81,J$2)=$Z$3,"Full",SUMIFS($C$3:$C81,$D$3:$D81,J$2)))</f>
        <v>-</v>
      </c>
      <c r="K81" s="2" t="str">
        <f>IF(K$1&gt;$Z$4,"-",IF(COUNTIF($D$3:$D81,K$2)=$Z$3,"Full",SUMIFS($C$3:$C81,$D$3:$D81,K$2)))</f>
        <v>-</v>
      </c>
      <c r="L81" s="2" t="str">
        <f>IF(L$1&gt;$Z$4,"-",IF(COUNTIF($D$3:$D81,L$2)=$Z$3,"Full",SUMIFS($C$3:$C81,$D$3:$D81,L$2)))</f>
        <v>-</v>
      </c>
      <c r="M81" s="2" t="str">
        <f>IF(M$1&gt;$Z$4,"-",IF(COUNTIF($D$3:$D81,M$2)=$Z$3,"Full",SUMIFS($C$3:$C81,$D$3:$D81,M$2)))</f>
        <v>-</v>
      </c>
      <c r="N81" s="2" t="str">
        <f>IF(N$1&gt;$Z$4,"-",IF(COUNTIF($D$3:$D81,N$2)=$Z$3,"Full",SUMIFS($C$3:$C81,$D$3:$D81,N$2)))</f>
        <v>-</v>
      </c>
      <c r="O81" s="2" t="str">
        <f>IF(O$1&gt;$Z$4,"-",IF(COUNTIF($D$3:$D81,O$2)=$Z$3,"Full",SUMIFS($C$3:$C81,$D$3:$D81,O$2)))</f>
        <v>-</v>
      </c>
      <c r="P81" s="2" t="str">
        <f>IF(P$1&gt;$Z$4,"-",IF(COUNTIF($D$3:$D81,P$2)=$Z$3,"Full",SUMIFS($C$3:$C81,$D$3:$D81,P$2)))</f>
        <v>-</v>
      </c>
      <c r="Q81" s="2" t="str">
        <f>IF(Q$1&gt;$Z$4,"-",IF(COUNTIF($D$3:$D81,Q$2)=$Z$3,"Full",SUMIFS($C$3:$C81,$D$3:$D81,Q$2)))</f>
        <v>-</v>
      </c>
      <c r="R81" s="2" t="str">
        <f>IF(R$1&gt;$Z$4,"-",IF(COUNTIF($D$3:$D81,R$2)=$Z$3,"Full",SUMIFS($C$3:$C81,$D$3:$D81,R$2)))</f>
        <v>-</v>
      </c>
      <c r="S81" s="2" t="str">
        <f>IF(S$1&gt;$Z$4,"-",IF(COUNTIF($D$3:$D81,S$2)=$Z$3,"Full",SUMIFS($C$3:$C81,$D$3:$D81,S$2)))</f>
        <v>-</v>
      </c>
      <c r="T81" s="11" t="str">
        <f>IF(T$1&gt;$Z$4,"-",IF(COUNTIF($D$3:$D81,T$2)=$Z$3,"Full",SUMIFS($C$3:$C81,$D$3:$D81,T$2)))</f>
        <v>-</v>
      </c>
    </row>
    <row r="82" spans="1:20" x14ac:dyDescent="0.25">
      <c r="A82" s="10">
        <f t="shared" si="154"/>
        <v>80</v>
      </c>
      <c r="B82" s="2" t="str">
        <v>Nigeria</v>
      </c>
      <c r="C82" s="11">
        <v>0</v>
      </c>
      <c r="D82" s="14" t="str" cm="1">
        <f t="array" aca="1" ref="D82" ca="1">IFERROR(_xlfn.XLOOKUP(MIN(E81:INDIRECT($AA$4&amp;A82+1)),E81:INDIRECT($AA$4&amp;A82+1),$E$2:INDIRECT($AA$4&amp;"$2")),"-")</f>
        <v>-</v>
      </c>
      <c r="E82" s="10" t="str">
        <f ca="1">IF(E$1&gt;$Z$4,"-",IF(COUNTIF($D$3:$D82,E$2)=$Z$3,"Full",SUMIFS($C$3:$C82,$D$3:$D82,E$2)))</f>
        <v>Full</v>
      </c>
      <c r="F82" s="2" t="str">
        <f>IF(F$1&gt;$Z$4,"-",IF(COUNTIF($D$3:$D82,F$2)=$Z$3,"Full",SUMIFS($C$3:$C82,$D$3:$D82,F$2)))</f>
        <v>-</v>
      </c>
      <c r="G82" s="2" t="str">
        <f>IF(G$1&gt;$Z$4,"-",IF(COUNTIF($D$3:$D82,G$2)=$Z$3,"Full",SUMIFS($C$3:$C82,$D$3:$D82,G$2)))</f>
        <v>-</v>
      </c>
      <c r="H82" s="2" t="str">
        <f>IF(H$1&gt;$Z$4,"-",IF(COUNTIF($D$3:$D82,H$2)=$Z$3,"Full",SUMIFS($C$3:$C82,$D$3:$D82,H$2)))</f>
        <v>-</v>
      </c>
      <c r="I82" s="2" t="str">
        <f>IF(I$1&gt;$Z$4,"-",IF(COUNTIF($D$3:$D82,I$2)=$Z$3,"Full",SUMIFS($C$3:$C82,$D$3:$D82,I$2)))</f>
        <v>-</v>
      </c>
      <c r="J82" s="2" t="str">
        <f>IF(J$1&gt;$Z$4,"-",IF(COUNTIF($D$3:$D82,J$2)=$Z$3,"Full",SUMIFS($C$3:$C82,$D$3:$D82,J$2)))</f>
        <v>-</v>
      </c>
      <c r="K82" s="2" t="str">
        <f>IF(K$1&gt;$Z$4,"-",IF(COUNTIF($D$3:$D82,K$2)=$Z$3,"Full",SUMIFS($C$3:$C82,$D$3:$D82,K$2)))</f>
        <v>-</v>
      </c>
      <c r="L82" s="2" t="str">
        <f>IF(L$1&gt;$Z$4,"-",IF(COUNTIF($D$3:$D82,L$2)=$Z$3,"Full",SUMIFS($C$3:$C82,$D$3:$D82,L$2)))</f>
        <v>-</v>
      </c>
      <c r="M82" s="2" t="str">
        <f>IF(M$1&gt;$Z$4,"-",IF(COUNTIF($D$3:$D82,M$2)=$Z$3,"Full",SUMIFS($C$3:$C82,$D$3:$D82,M$2)))</f>
        <v>-</v>
      </c>
      <c r="N82" s="2" t="str">
        <f>IF(N$1&gt;$Z$4,"-",IF(COUNTIF($D$3:$D82,N$2)=$Z$3,"Full",SUMIFS($C$3:$C82,$D$3:$D82,N$2)))</f>
        <v>-</v>
      </c>
      <c r="O82" s="2" t="str">
        <f>IF(O$1&gt;$Z$4,"-",IF(COUNTIF($D$3:$D82,O$2)=$Z$3,"Full",SUMIFS($C$3:$C82,$D$3:$D82,O$2)))</f>
        <v>-</v>
      </c>
      <c r="P82" s="2" t="str">
        <f>IF(P$1&gt;$Z$4,"-",IF(COUNTIF($D$3:$D82,P$2)=$Z$3,"Full",SUMIFS($C$3:$C82,$D$3:$D82,P$2)))</f>
        <v>-</v>
      </c>
      <c r="Q82" s="2" t="str">
        <f>IF(Q$1&gt;$Z$4,"-",IF(COUNTIF($D$3:$D82,Q$2)=$Z$3,"Full",SUMIFS($C$3:$C82,$D$3:$D82,Q$2)))</f>
        <v>-</v>
      </c>
      <c r="R82" s="2" t="str">
        <f>IF(R$1&gt;$Z$4,"-",IF(COUNTIF($D$3:$D82,R$2)=$Z$3,"Full",SUMIFS($C$3:$C82,$D$3:$D82,R$2)))</f>
        <v>-</v>
      </c>
      <c r="S82" s="2" t="str">
        <f>IF(S$1&gt;$Z$4,"-",IF(COUNTIF($D$3:$D82,S$2)=$Z$3,"Full",SUMIFS($C$3:$C82,$D$3:$D82,S$2)))</f>
        <v>-</v>
      </c>
      <c r="T82" s="11" t="str">
        <f>IF(T$1&gt;$Z$4,"-",IF(COUNTIF($D$3:$D82,T$2)=$Z$3,"Full",SUMIFS($C$3:$C82,$D$3:$D82,T$2)))</f>
        <v>-</v>
      </c>
    </row>
    <row r="83" spans="1:20" x14ac:dyDescent="0.25">
      <c r="A83" s="10">
        <f t="shared" si="154"/>
        <v>81</v>
      </c>
      <c r="B83" s="2" t="str">
        <v>Namibia</v>
      </c>
      <c r="C83" s="11">
        <v>0</v>
      </c>
      <c r="D83" s="14" t="str" cm="1">
        <f t="array" aca="1" ref="D83" ca="1">IFERROR(_xlfn.XLOOKUP(MIN(E82:INDIRECT($AA$4&amp;A83+1)),E82:INDIRECT($AA$4&amp;A83+1),$E$2:INDIRECT($AA$4&amp;"$2")),"-")</f>
        <v>-</v>
      </c>
      <c r="E83" s="10" t="str">
        <f ca="1">IF(E$1&gt;$Z$4,"-",IF(COUNTIF($D$3:$D83,E$2)=$Z$3,"Full",SUMIFS($C$3:$C83,$D$3:$D83,E$2)))</f>
        <v>Full</v>
      </c>
      <c r="F83" s="2" t="str">
        <f>IF(F$1&gt;$Z$4,"-",IF(COUNTIF($D$3:$D83,F$2)=$Z$3,"Full",SUMIFS($C$3:$C83,$D$3:$D83,F$2)))</f>
        <v>-</v>
      </c>
      <c r="G83" s="2" t="str">
        <f>IF(G$1&gt;$Z$4,"-",IF(COUNTIF($D$3:$D83,G$2)=$Z$3,"Full",SUMIFS($C$3:$C83,$D$3:$D83,G$2)))</f>
        <v>-</v>
      </c>
      <c r="H83" s="2" t="str">
        <f>IF(H$1&gt;$Z$4,"-",IF(COUNTIF($D$3:$D83,H$2)=$Z$3,"Full",SUMIFS($C$3:$C83,$D$3:$D83,H$2)))</f>
        <v>-</v>
      </c>
      <c r="I83" s="2" t="str">
        <f>IF(I$1&gt;$Z$4,"-",IF(COUNTIF($D$3:$D83,I$2)=$Z$3,"Full",SUMIFS($C$3:$C83,$D$3:$D83,I$2)))</f>
        <v>-</v>
      </c>
      <c r="J83" s="2" t="str">
        <f>IF(J$1&gt;$Z$4,"-",IF(COUNTIF($D$3:$D83,J$2)=$Z$3,"Full",SUMIFS($C$3:$C83,$D$3:$D83,J$2)))</f>
        <v>-</v>
      </c>
      <c r="K83" s="2" t="str">
        <f>IF(K$1&gt;$Z$4,"-",IF(COUNTIF($D$3:$D83,K$2)=$Z$3,"Full",SUMIFS($C$3:$C83,$D$3:$D83,K$2)))</f>
        <v>-</v>
      </c>
      <c r="L83" s="2" t="str">
        <f>IF(L$1&gt;$Z$4,"-",IF(COUNTIF($D$3:$D83,L$2)=$Z$3,"Full",SUMIFS($C$3:$C83,$D$3:$D83,L$2)))</f>
        <v>-</v>
      </c>
      <c r="M83" s="2" t="str">
        <f>IF(M$1&gt;$Z$4,"-",IF(COUNTIF($D$3:$D83,M$2)=$Z$3,"Full",SUMIFS($C$3:$C83,$D$3:$D83,M$2)))</f>
        <v>-</v>
      </c>
      <c r="N83" s="2" t="str">
        <f>IF(N$1&gt;$Z$4,"-",IF(COUNTIF($D$3:$D83,N$2)=$Z$3,"Full",SUMIFS($C$3:$C83,$D$3:$D83,N$2)))</f>
        <v>-</v>
      </c>
      <c r="O83" s="2" t="str">
        <f>IF(O$1&gt;$Z$4,"-",IF(COUNTIF($D$3:$D83,O$2)=$Z$3,"Full",SUMIFS($C$3:$C83,$D$3:$D83,O$2)))</f>
        <v>-</v>
      </c>
      <c r="P83" s="2" t="str">
        <f>IF(P$1&gt;$Z$4,"-",IF(COUNTIF($D$3:$D83,P$2)=$Z$3,"Full",SUMIFS($C$3:$C83,$D$3:$D83,P$2)))</f>
        <v>-</v>
      </c>
      <c r="Q83" s="2" t="str">
        <f>IF(Q$1&gt;$Z$4,"-",IF(COUNTIF($D$3:$D83,Q$2)=$Z$3,"Full",SUMIFS($C$3:$C83,$D$3:$D83,Q$2)))</f>
        <v>-</v>
      </c>
      <c r="R83" s="2" t="str">
        <f>IF(R$1&gt;$Z$4,"-",IF(COUNTIF($D$3:$D83,R$2)=$Z$3,"Full",SUMIFS($C$3:$C83,$D$3:$D83,R$2)))</f>
        <v>-</v>
      </c>
      <c r="S83" s="2" t="str">
        <f>IF(S$1&gt;$Z$4,"-",IF(COUNTIF($D$3:$D83,S$2)=$Z$3,"Full",SUMIFS($C$3:$C83,$D$3:$D83,S$2)))</f>
        <v>-</v>
      </c>
      <c r="T83" s="11" t="str">
        <f>IF(T$1&gt;$Z$4,"-",IF(COUNTIF($D$3:$D83,T$2)=$Z$3,"Full",SUMIFS($C$3:$C83,$D$3:$D83,T$2)))</f>
        <v>-</v>
      </c>
    </row>
    <row r="84" spans="1:20" x14ac:dyDescent="0.25">
      <c r="A84" s="10">
        <f t="shared" si="154"/>
        <v>82</v>
      </c>
      <c r="B84" s="2" t="str">
        <v>Saudi Arabia</v>
      </c>
      <c r="C84" s="11">
        <v>0</v>
      </c>
      <c r="D84" s="14" t="str" cm="1">
        <f t="array" aca="1" ref="D84" ca="1">IFERROR(_xlfn.XLOOKUP(MIN(E83:INDIRECT($AA$4&amp;A84+1)),E83:INDIRECT($AA$4&amp;A84+1),$E$2:INDIRECT($AA$4&amp;"$2")),"-")</f>
        <v>-</v>
      </c>
      <c r="E84" s="10" t="str">
        <f ca="1">IF(E$1&gt;$Z$4,"-",IF(COUNTIF($D$3:$D84,E$2)=$Z$3,"Full",SUMIFS($C$3:$C84,$D$3:$D84,E$2)))</f>
        <v>Full</v>
      </c>
      <c r="F84" s="2" t="str">
        <f>IF(F$1&gt;$Z$4,"-",IF(COUNTIF($D$3:$D84,F$2)=$Z$3,"Full",SUMIFS($C$3:$C84,$D$3:$D84,F$2)))</f>
        <v>-</v>
      </c>
      <c r="G84" s="2" t="str">
        <f>IF(G$1&gt;$Z$4,"-",IF(COUNTIF($D$3:$D84,G$2)=$Z$3,"Full",SUMIFS($C$3:$C84,$D$3:$D84,G$2)))</f>
        <v>-</v>
      </c>
      <c r="H84" s="2" t="str">
        <f>IF(H$1&gt;$Z$4,"-",IF(COUNTIF($D$3:$D84,H$2)=$Z$3,"Full",SUMIFS($C$3:$C84,$D$3:$D84,H$2)))</f>
        <v>-</v>
      </c>
      <c r="I84" s="2" t="str">
        <f>IF(I$1&gt;$Z$4,"-",IF(COUNTIF($D$3:$D84,I$2)=$Z$3,"Full",SUMIFS($C$3:$C84,$D$3:$D84,I$2)))</f>
        <v>-</v>
      </c>
      <c r="J84" s="2" t="str">
        <f>IF(J$1&gt;$Z$4,"-",IF(COUNTIF($D$3:$D84,J$2)=$Z$3,"Full",SUMIFS($C$3:$C84,$D$3:$D84,J$2)))</f>
        <v>-</v>
      </c>
      <c r="K84" s="2" t="str">
        <f>IF(K$1&gt;$Z$4,"-",IF(COUNTIF($D$3:$D84,K$2)=$Z$3,"Full",SUMIFS($C$3:$C84,$D$3:$D84,K$2)))</f>
        <v>-</v>
      </c>
      <c r="L84" s="2" t="str">
        <f>IF(L$1&gt;$Z$4,"-",IF(COUNTIF($D$3:$D84,L$2)=$Z$3,"Full",SUMIFS($C$3:$C84,$D$3:$D84,L$2)))</f>
        <v>-</v>
      </c>
      <c r="M84" s="2" t="str">
        <f>IF(M$1&gt;$Z$4,"-",IF(COUNTIF($D$3:$D84,M$2)=$Z$3,"Full",SUMIFS($C$3:$C84,$D$3:$D84,M$2)))</f>
        <v>-</v>
      </c>
      <c r="N84" s="2" t="str">
        <f>IF(N$1&gt;$Z$4,"-",IF(COUNTIF($D$3:$D84,N$2)=$Z$3,"Full",SUMIFS($C$3:$C84,$D$3:$D84,N$2)))</f>
        <v>-</v>
      </c>
      <c r="O84" s="2" t="str">
        <f>IF(O$1&gt;$Z$4,"-",IF(COUNTIF($D$3:$D84,O$2)=$Z$3,"Full",SUMIFS($C$3:$C84,$D$3:$D84,O$2)))</f>
        <v>-</v>
      </c>
      <c r="P84" s="2" t="str">
        <f>IF(P$1&gt;$Z$4,"-",IF(COUNTIF($D$3:$D84,P$2)=$Z$3,"Full",SUMIFS($C$3:$C84,$D$3:$D84,P$2)))</f>
        <v>-</v>
      </c>
      <c r="Q84" s="2" t="str">
        <f>IF(Q$1&gt;$Z$4,"-",IF(COUNTIF($D$3:$D84,Q$2)=$Z$3,"Full",SUMIFS($C$3:$C84,$D$3:$D84,Q$2)))</f>
        <v>-</v>
      </c>
      <c r="R84" s="2" t="str">
        <f>IF(R$1&gt;$Z$4,"-",IF(COUNTIF($D$3:$D84,R$2)=$Z$3,"Full",SUMIFS($C$3:$C84,$D$3:$D84,R$2)))</f>
        <v>-</v>
      </c>
      <c r="S84" s="2" t="str">
        <f>IF(S$1&gt;$Z$4,"-",IF(COUNTIF($D$3:$D84,S$2)=$Z$3,"Full",SUMIFS($C$3:$C84,$D$3:$D84,S$2)))</f>
        <v>-</v>
      </c>
      <c r="T84" s="11" t="str">
        <f>IF(T$1&gt;$Z$4,"-",IF(COUNTIF($D$3:$D84,T$2)=$Z$3,"Full",SUMIFS($C$3:$C84,$D$3:$D84,T$2)))</f>
        <v>-</v>
      </c>
    </row>
    <row r="85" spans="1:20" x14ac:dyDescent="0.25">
      <c r="A85" s="10">
        <f t="shared" si="154"/>
        <v>83</v>
      </c>
      <c r="B85" s="2" t="str">
        <v>Turkmenistan</v>
      </c>
      <c r="C85" s="11">
        <v>0</v>
      </c>
      <c r="D85" s="14" t="str" cm="1">
        <f t="array" aca="1" ref="D85" ca="1">IFERROR(_xlfn.XLOOKUP(MIN(E84:INDIRECT($AA$4&amp;A85+1)),E84:INDIRECT($AA$4&amp;A85+1),$E$2:INDIRECT($AA$4&amp;"$2")),"-")</f>
        <v>-</v>
      </c>
      <c r="E85" s="10" t="str">
        <f ca="1">IF(E$1&gt;$Z$4,"-",IF(COUNTIF($D$3:$D85,E$2)=$Z$3,"Full",SUMIFS($C$3:$C85,$D$3:$D85,E$2)))</f>
        <v>Full</v>
      </c>
      <c r="F85" s="2" t="str">
        <f>IF(F$1&gt;$Z$4,"-",IF(COUNTIF($D$3:$D85,F$2)=$Z$3,"Full",SUMIFS($C$3:$C85,$D$3:$D85,F$2)))</f>
        <v>-</v>
      </c>
      <c r="G85" s="2" t="str">
        <f>IF(G$1&gt;$Z$4,"-",IF(COUNTIF($D$3:$D85,G$2)=$Z$3,"Full",SUMIFS($C$3:$C85,$D$3:$D85,G$2)))</f>
        <v>-</v>
      </c>
      <c r="H85" s="2" t="str">
        <f>IF(H$1&gt;$Z$4,"-",IF(COUNTIF($D$3:$D85,H$2)=$Z$3,"Full",SUMIFS($C$3:$C85,$D$3:$D85,H$2)))</f>
        <v>-</v>
      </c>
      <c r="I85" s="2" t="str">
        <f>IF(I$1&gt;$Z$4,"-",IF(COUNTIF($D$3:$D85,I$2)=$Z$3,"Full",SUMIFS($C$3:$C85,$D$3:$D85,I$2)))</f>
        <v>-</v>
      </c>
      <c r="J85" s="2" t="str">
        <f>IF(J$1&gt;$Z$4,"-",IF(COUNTIF($D$3:$D85,J$2)=$Z$3,"Full",SUMIFS($C$3:$C85,$D$3:$D85,J$2)))</f>
        <v>-</v>
      </c>
      <c r="K85" s="2" t="str">
        <f>IF(K$1&gt;$Z$4,"-",IF(COUNTIF($D$3:$D85,K$2)=$Z$3,"Full",SUMIFS($C$3:$C85,$D$3:$D85,K$2)))</f>
        <v>-</v>
      </c>
      <c r="L85" s="2" t="str">
        <f>IF(L$1&gt;$Z$4,"-",IF(COUNTIF($D$3:$D85,L$2)=$Z$3,"Full",SUMIFS($C$3:$C85,$D$3:$D85,L$2)))</f>
        <v>-</v>
      </c>
      <c r="M85" s="2" t="str">
        <f>IF(M$1&gt;$Z$4,"-",IF(COUNTIF($D$3:$D85,M$2)=$Z$3,"Full",SUMIFS($C$3:$C85,$D$3:$D85,M$2)))</f>
        <v>-</v>
      </c>
      <c r="N85" s="2" t="str">
        <f>IF(N$1&gt;$Z$4,"-",IF(COUNTIF($D$3:$D85,N$2)=$Z$3,"Full",SUMIFS($C$3:$C85,$D$3:$D85,N$2)))</f>
        <v>-</v>
      </c>
      <c r="O85" s="2" t="str">
        <f>IF(O$1&gt;$Z$4,"-",IF(COUNTIF($D$3:$D85,O$2)=$Z$3,"Full",SUMIFS($C$3:$C85,$D$3:$D85,O$2)))</f>
        <v>-</v>
      </c>
      <c r="P85" s="2" t="str">
        <f>IF(P$1&gt;$Z$4,"-",IF(COUNTIF($D$3:$D85,P$2)=$Z$3,"Full",SUMIFS($C$3:$C85,$D$3:$D85,P$2)))</f>
        <v>-</v>
      </c>
      <c r="Q85" s="2" t="str">
        <f>IF(Q$1&gt;$Z$4,"-",IF(COUNTIF($D$3:$D85,Q$2)=$Z$3,"Full",SUMIFS($C$3:$C85,$D$3:$D85,Q$2)))</f>
        <v>-</v>
      </c>
      <c r="R85" s="2" t="str">
        <f>IF(R$1&gt;$Z$4,"-",IF(COUNTIF($D$3:$D85,R$2)=$Z$3,"Full",SUMIFS($C$3:$C85,$D$3:$D85,R$2)))</f>
        <v>-</v>
      </c>
      <c r="S85" s="2" t="str">
        <f>IF(S$1&gt;$Z$4,"-",IF(COUNTIF($D$3:$D85,S$2)=$Z$3,"Full",SUMIFS($C$3:$C85,$D$3:$D85,S$2)))</f>
        <v>-</v>
      </c>
      <c r="T85" s="11" t="str">
        <f>IF(T$1&gt;$Z$4,"-",IF(COUNTIF($D$3:$D85,T$2)=$Z$3,"Full",SUMIFS($C$3:$C85,$D$3:$D85,T$2)))</f>
        <v>-</v>
      </c>
    </row>
    <row r="86" spans="1:20" x14ac:dyDescent="0.25">
      <c r="A86" s="10">
        <f t="shared" si="154"/>
        <v>84</v>
      </c>
      <c r="B86" s="2" t="str">
        <v>Botswana</v>
      </c>
      <c r="C86" s="11">
        <v>0</v>
      </c>
      <c r="D86" s="14" t="str" cm="1">
        <f t="array" aca="1" ref="D86" ca="1">IFERROR(_xlfn.XLOOKUP(MIN(E85:INDIRECT($AA$4&amp;A86+1)),E85:INDIRECT($AA$4&amp;A86+1),$E$2:INDIRECT($AA$4&amp;"$2")),"-")</f>
        <v>-</v>
      </c>
      <c r="E86" s="10" t="str">
        <f ca="1">IF(E$1&gt;$Z$4,"-",IF(COUNTIF($D$3:$D86,E$2)=$Z$3,"Full",SUMIFS($C$3:$C86,$D$3:$D86,E$2)))</f>
        <v>Full</v>
      </c>
      <c r="F86" s="2" t="str">
        <f>IF(F$1&gt;$Z$4,"-",IF(COUNTIF($D$3:$D86,F$2)=$Z$3,"Full",SUMIFS($C$3:$C86,$D$3:$D86,F$2)))</f>
        <v>-</v>
      </c>
      <c r="G86" s="2" t="str">
        <f>IF(G$1&gt;$Z$4,"-",IF(COUNTIF($D$3:$D86,G$2)=$Z$3,"Full",SUMIFS($C$3:$C86,$D$3:$D86,G$2)))</f>
        <v>-</v>
      </c>
      <c r="H86" s="2" t="str">
        <f>IF(H$1&gt;$Z$4,"-",IF(COUNTIF($D$3:$D86,H$2)=$Z$3,"Full",SUMIFS($C$3:$C86,$D$3:$D86,H$2)))</f>
        <v>-</v>
      </c>
      <c r="I86" s="2" t="str">
        <f>IF(I$1&gt;$Z$4,"-",IF(COUNTIF($D$3:$D86,I$2)=$Z$3,"Full",SUMIFS($C$3:$C86,$D$3:$D86,I$2)))</f>
        <v>-</v>
      </c>
      <c r="J86" s="2" t="str">
        <f>IF(J$1&gt;$Z$4,"-",IF(COUNTIF($D$3:$D86,J$2)=$Z$3,"Full",SUMIFS($C$3:$C86,$D$3:$D86,J$2)))</f>
        <v>-</v>
      </c>
      <c r="K86" s="2" t="str">
        <f>IF(K$1&gt;$Z$4,"-",IF(COUNTIF($D$3:$D86,K$2)=$Z$3,"Full",SUMIFS($C$3:$C86,$D$3:$D86,K$2)))</f>
        <v>-</v>
      </c>
      <c r="L86" s="2" t="str">
        <f>IF(L$1&gt;$Z$4,"-",IF(COUNTIF($D$3:$D86,L$2)=$Z$3,"Full",SUMIFS($C$3:$C86,$D$3:$D86,L$2)))</f>
        <v>-</v>
      </c>
      <c r="M86" s="2" t="str">
        <f>IF(M$1&gt;$Z$4,"-",IF(COUNTIF($D$3:$D86,M$2)=$Z$3,"Full",SUMIFS($C$3:$C86,$D$3:$D86,M$2)))</f>
        <v>-</v>
      </c>
      <c r="N86" s="2" t="str">
        <f>IF(N$1&gt;$Z$4,"-",IF(COUNTIF($D$3:$D86,N$2)=$Z$3,"Full",SUMIFS($C$3:$C86,$D$3:$D86,N$2)))</f>
        <v>-</v>
      </c>
      <c r="O86" s="2" t="str">
        <f>IF(O$1&gt;$Z$4,"-",IF(COUNTIF($D$3:$D86,O$2)=$Z$3,"Full",SUMIFS($C$3:$C86,$D$3:$D86,O$2)))</f>
        <v>-</v>
      </c>
      <c r="P86" s="2" t="str">
        <f>IF(P$1&gt;$Z$4,"-",IF(COUNTIF($D$3:$D86,P$2)=$Z$3,"Full",SUMIFS($C$3:$C86,$D$3:$D86,P$2)))</f>
        <v>-</v>
      </c>
      <c r="Q86" s="2" t="str">
        <f>IF(Q$1&gt;$Z$4,"-",IF(COUNTIF($D$3:$D86,Q$2)=$Z$3,"Full",SUMIFS($C$3:$C86,$D$3:$D86,Q$2)))</f>
        <v>-</v>
      </c>
      <c r="R86" s="2" t="str">
        <f>IF(R$1&gt;$Z$4,"-",IF(COUNTIF($D$3:$D86,R$2)=$Z$3,"Full",SUMIFS($C$3:$C86,$D$3:$D86,R$2)))</f>
        <v>-</v>
      </c>
      <c r="S86" s="2" t="str">
        <f>IF(S$1&gt;$Z$4,"-",IF(COUNTIF($D$3:$D86,S$2)=$Z$3,"Full",SUMIFS($C$3:$C86,$D$3:$D86,S$2)))</f>
        <v>-</v>
      </c>
      <c r="T86" s="11" t="str">
        <f>IF(T$1&gt;$Z$4,"-",IF(COUNTIF($D$3:$D86,T$2)=$Z$3,"Full",SUMIFS($C$3:$C86,$D$3:$D86,T$2)))</f>
        <v>-</v>
      </c>
    </row>
    <row r="87" spans="1:20" x14ac:dyDescent="0.25">
      <c r="A87" s="10">
        <f t="shared" si="154"/>
        <v>85</v>
      </c>
      <c r="B87" s="2" t="str">
        <v>Burkina Faso</v>
      </c>
      <c r="C87" s="11">
        <v>0</v>
      </c>
      <c r="D87" s="14" t="str" cm="1">
        <f t="array" aca="1" ref="D87" ca="1">IFERROR(_xlfn.XLOOKUP(MIN(E86:INDIRECT($AA$4&amp;A87+1)),E86:INDIRECT($AA$4&amp;A87+1),$E$2:INDIRECT($AA$4&amp;"$2")),"-")</f>
        <v>-</v>
      </c>
      <c r="E87" s="10" t="str">
        <f ca="1">IF(E$1&gt;$Z$4,"-",IF(COUNTIF($D$3:$D87,E$2)=$Z$3,"Full",SUMIFS($C$3:$C87,$D$3:$D87,E$2)))</f>
        <v>Full</v>
      </c>
      <c r="F87" s="2" t="str">
        <f>IF(F$1&gt;$Z$4,"-",IF(COUNTIF($D$3:$D87,F$2)=$Z$3,"Full",SUMIFS($C$3:$C87,$D$3:$D87,F$2)))</f>
        <v>-</v>
      </c>
      <c r="G87" s="2" t="str">
        <f>IF(G$1&gt;$Z$4,"-",IF(COUNTIF($D$3:$D87,G$2)=$Z$3,"Full",SUMIFS($C$3:$C87,$D$3:$D87,G$2)))</f>
        <v>-</v>
      </c>
      <c r="H87" s="2" t="str">
        <f>IF(H$1&gt;$Z$4,"-",IF(COUNTIF($D$3:$D87,H$2)=$Z$3,"Full",SUMIFS($C$3:$C87,$D$3:$D87,H$2)))</f>
        <v>-</v>
      </c>
      <c r="I87" s="2" t="str">
        <f>IF(I$1&gt;$Z$4,"-",IF(COUNTIF($D$3:$D87,I$2)=$Z$3,"Full",SUMIFS($C$3:$C87,$D$3:$D87,I$2)))</f>
        <v>-</v>
      </c>
      <c r="J87" s="2" t="str">
        <f>IF(J$1&gt;$Z$4,"-",IF(COUNTIF($D$3:$D87,J$2)=$Z$3,"Full",SUMIFS($C$3:$C87,$D$3:$D87,J$2)))</f>
        <v>-</v>
      </c>
      <c r="K87" s="2" t="str">
        <f>IF(K$1&gt;$Z$4,"-",IF(COUNTIF($D$3:$D87,K$2)=$Z$3,"Full",SUMIFS($C$3:$C87,$D$3:$D87,K$2)))</f>
        <v>-</v>
      </c>
      <c r="L87" s="2" t="str">
        <f>IF(L$1&gt;$Z$4,"-",IF(COUNTIF($D$3:$D87,L$2)=$Z$3,"Full",SUMIFS($C$3:$C87,$D$3:$D87,L$2)))</f>
        <v>-</v>
      </c>
      <c r="M87" s="2" t="str">
        <f>IF(M$1&gt;$Z$4,"-",IF(COUNTIF($D$3:$D87,M$2)=$Z$3,"Full",SUMIFS($C$3:$C87,$D$3:$D87,M$2)))</f>
        <v>-</v>
      </c>
      <c r="N87" s="2" t="str">
        <f>IF(N$1&gt;$Z$4,"-",IF(COUNTIF($D$3:$D87,N$2)=$Z$3,"Full",SUMIFS($C$3:$C87,$D$3:$D87,N$2)))</f>
        <v>-</v>
      </c>
      <c r="O87" s="2" t="str">
        <f>IF(O$1&gt;$Z$4,"-",IF(COUNTIF($D$3:$D87,O$2)=$Z$3,"Full",SUMIFS($C$3:$C87,$D$3:$D87,O$2)))</f>
        <v>-</v>
      </c>
      <c r="P87" s="2" t="str">
        <f>IF(P$1&gt;$Z$4,"-",IF(COUNTIF($D$3:$D87,P$2)=$Z$3,"Full",SUMIFS($C$3:$C87,$D$3:$D87,P$2)))</f>
        <v>-</v>
      </c>
      <c r="Q87" s="2" t="str">
        <f>IF(Q$1&gt;$Z$4,"-",IF(COUNTIF($D$3:$D87,Q$2)=$Z$3,"Full",SUMIFS($C$3:$C87,$D$3:$D87,Q$2)))</f>
        <v>-</v>
      </c>
      <c r="R87" s="2" t="str">
        <f>IF(R$1&gt;$Z$4,"-",IF(COUNTIF($D$3:$D87,R$2)=$Z$3,"Full",SUMIFS($C$3:$C87,$D$3:$D87,R$2)))</f>
        <v>-</v>
      </c>
      <c r="S87" s="2" t="str">
        <f>IF(S$1&gt;$Z$4,"-",IF(COUNTIF($D$3:$D87,S$2)=$Z$3,"Full",SUMIFS($C$3:$C87,$D$3:$D87,S$2)))</f>
        <v>-</v>
      </c>
      <c r="T87" s="11" t="str">
        <f>IF(T$1&gt;$Z$4,"-",IF(COUNTIF($D$3:$D87,T$2)=$Z$3,"Full",SUMIFS($C$3:$C87,$D$3:$D87,T$2)))</f>
        <v>-</v>
      </c>
    </row>
    <row r="88" spans="1:20" x14ac:dyDescent="0.25">
      <c r="A88" s="10">
        <f t="shared" si="154"/>
        <v>86</v>
      </c>
      <c r="B88" s="2" t="str">
        <v>Ghana</v>
      </c>
      <c r="C88" s="11">
        <v>0</v>
      </c>
      <c r="D88" s="14" t="str" cm="1">
        <f t="array" aca="1" ref="D88" ca="1">IFERROR(_xlfn.XLOOKUP(MIN(E87:INDIRECT($AA$4&amp;A88+1)),E87:INDIRECT($AA$4&amp;A88+1),$E$2:INDIRECT($AA$4&amp;"$2")),"-")</f>
        <v>-</v>
      </c>
      <c r="E88" s="10" t="str">
        <f ca="1">IF(E$1&gt;$Z$4,"-",IF(COUNTIF($D$3:$D88,E$2)=$Z$3,"Full",SUMIFS($C$3:$C88,$D$3:$D88,E$2)))</f>
        <v>Full</v>
      </c>
      <c r="F88" s="2" t="str">
        <f>IF(F$1&gt;$Z$4,"-",IF(COUNTIF($D$3:$D88,F$2)=$Z$3,"Full",SUMIFS($C$3:$C88,$D$3:$D88,F$2)))</f>
        <v>-</v>
      </c>
      <c r="G88" s="2" t="str">
        <f>IF(G$1&gt;$Z$4,"-",IF(COUNTIF($D$3:$D88,G$2)=$Z$3,"Full",SUMIFS($C$3:$C88,$D$3:$D88,G$2)))</f>
        <v>-</v>
      </c>
      <c r="H88" s="2" t="str">
        <f>IF(H$1&gt;$Z$4,"-",IF(COUNTIF($D$3:$D88,H$2)=$Z$3,"Full",SUMIFS($C$3:$C88,$D$3:$D88,H$2)))</f>
        <v>-</v>
      </c>
      <c r="I88" s="2" t="str">
        <f>IF(I$1&gt;$Z$4,"-",IF(COUNTIF($D$3:$D88,I$2)=$Z$3,"Full",SUMIFS($C$3:$C88,$D$3:$D88,I$2)))</f>
        <v>-</v>
      </c>
      <c r="J88" s="2" t="str">
        <f>IF(J$1&gt;$Z$4,"-",IF(COUNTIF($D$3:$D88,J$2)=$Z$3,"Full",SUMIFS($C$3:$C88,$D$3:$D88,J$2)))</f>
        <v>-</v>
      </c>
      <c r="K88" s="2" t="str">
        <f>IF(K$1&gt;$Z$4,"-",IF(COUNTIF($D$3:$D88,K$2)=$Z$3,"Full",SUMIFS($C$3:$C88,$D$3:$D88,K$2)))</f>
        <v>-</v>
      </c>
      <c r="L88" s="2" t="str">
        <f>IF(L$1&gt;$Z$4,"-",IF(COUNTIF($D$3:$D88,L$2)=$Z$3,"Full",SUMIFS($C$3:$C88,$D$3:$D88,L$2)))</f>
        <v>-</v>
      </c>
      <c r="M88" s="2" t="str">
        <f>IF(M$1&gt;$Z$4,"-",IF(COUNTIF($D$3:$D88,M$2)=$Z$3,"Full",SUMIFS($C$3:$C88,$D$3:$D88,M$2)))</f>
        <v>-</v>
      </c>
      <c r="N88" s="2" t="str">
        <f>IF(N$1&gt;$Z$4,"-",IF(COUNTIF($D$3:$D88,N$2)=$Z$3,"Full",SUMIFS($C$3:$C88,$D$3:$D88,N$2)))</f>
        <v>-</v>
      </c>
      <c r="O88" s="2" t="str">
        <f>IF(O$1&gt;$Z$4,"-",IF(COUNTIF($D$3:$D88,O$2)=$Z$3,"Full",SUMIFS($C$3:$C88,$D$3:$D88,O$2)))</f>
        <v>-</v>
      </c>
      <c r="P88" s="2" t="str">
        <f>IF(P$1&gt;$Z$4,"-",IF(COUNTIF($D$3:$D88,P$2)=$Z$3,"Full",SUMIFS($C$3:$C88,$D$3:$D88,P$2)))</f>
        <v>-</v>
      </c>
      <c r="Q88" s="2" t="str">
        <f>IF(Q$1&gt;$Z$4,"-",IF(COUNTIF($D$3:$D88,Q$2)=$Z$3,"Full",SUMIFS($C$3:$C88,$D$3:$D88,Q$2)))</f>
        <v>-</v>
      </c>
      <c r="R88" s="2" t="str">
        <f>IF(R$1&gt;$Z$4,"-",IF(COUNTIF($D$3:$D88,R$2)=$Z$3,"Full",SUMIFS($C$3:$C88,$D$3:$D88,R$2)))</f>
        <v>-</v>
      </c>
      <c r="S88" s="2" t="str">
        <f>IF(S$1&gt;$Z$4,"-",IF(COUNTIF($D$3:$D88,S$2)=$Z$3,"Full",SUMIFS($C$3:$C88,$D$3:$D88,S$2)))</f>
        <v>-</v>
      </c>
      <c r="T88" s="11" t="str">
        <f>IF(T$1&gt;$Z$4,"-",IF(COUNTIF($D$3:$D88,T$2)=$Z$3,"Full",SUMIFS($C$3:$C88,$D$3:$D88,T$2)))</f>
        <v>-</v>
      </c>
    </row>
    <row r="89" spans="1:20" x14ac:dyDescent="0.25">
      <c r="A89" s="10">
        <f t="shared" si="154"/>
        <v>87</v>
      </c>
      <c r="B89" s="2" t="str">
        <v>Kuwait</v>
      </c>
      <c r="C89" s="11">
        <v>0</v>
      </c>
      <c r="D89" s="14" t="str" cm="1">
        <f t="array" aca="1" ref="D89" ca="1">IFERROR(_xlfn.XLOOKUP(MIN(E88:INDIRECT($AA$4&amp;A89+1)),E88:INDIRECT($AA$4&amp;A89+1),$E$2:INDIRECT($AA$4&amp;"$2")),"-")</f>
        <v>-</v>
      </c>
      <c r="E89" s="10" t="str">
        <f ca="1">IF(E$1&gt;$Z$4,"-",IF(COUNTIF($D$3:$D89,E$2)=$Z$3,"Full",SUMIFS($C$3:$C89,$D$3:$D89,E$2)))</f>
        <v>Full</v>
      </c>
      <c r="F89" s="2" t="str">
        <f>IF(F$1&gt;$Z$4,"-",IF(COUNTIF($D$3:$D89,F$2)=$Z$3,"Full",SUMIFS($C$3:$C89,$D$3:$D89,F$2)))</f>
        <v>-</v>
      </c>
      <c r="G89" s="2" t="str">
        <f>IF(G$1&gt;$Z$4,"-",IF(COUNTIF($D$3:$D89,G$2)=$Z$3,"Full",SUMIFS($C$3:$C89,$D$3:$D89,G$2)))</f>
        <v>-</v>
      </c>
      <c r="H89" s="2" t="str">
        <f>IF(H$1&gt;$Z$4,"-",IF(COUNTIF($D$3:$D89,H$2)=$Z$3,"Full",SUMIFS($C$3:$C89,$D$3:$D89,H$2)))</f>
        <v>-</v>
      </c>
      <c r="I89" s="2" t="str">
        <f>IF(I$1&gt;$Z$4,"-",IF(COUNTIF($D$3:$D89,I$2)=$Z$3,"Full",SUMIFS($C$3:$C89,$D$3:$D89,I$2)))</f>
        <v>-</v>
      </c>
      <c r="J89" s="2" t="str">
        <f>IF(J$1&gt;$Z$4,"-",IF(COUNTIF($D$3:$D89,J$2)=$Z$3,"Full",SUMIFS($C$3:$C89,$D$3:$D89,J$2)))</f>
        <v>-</v>
      </c>
      <c r="K89" s="2" t="str">
        <f>IF(K$1&gt;$Z$4,"-",IF(COUNTIF($D$3:$D89,K$2)=$Z$3,"Full",SUMIFS($C$3:$C89,$D$3:$D89,K$2)))</f>
        <v>-</v>
      </c>
      <c r="L89" s="2" t="str">
        <f>IF(L$1&gt;$Z$4,"-",IF(COUNTIF($D$3:$D89,L$2)=$Z$3,"Full",SUMIFS($C$3:$C89,$D$3:$D89,L$2)))</f>
        <v>-</v>
      </c>
      <c r="M89" s="2" t="str">
        <f>IF(M$1&gt;$Z$4,"-",IF(COUNTIF($D$3:$D89,M$2)=$Z$3,"Full",SUMIFS($C$3:$C89,$D$3:$D89,M$2)))</f>
        <v>-</v>
      </c>
      <c r="N89" s="2" t="str">
        <f>IF(N$1&gt;$Z$4,"-",IF(COUNTIF($D$3:$D89,N$2)=$Z$3,"Full",SUMIFS($C$3:$C89,$D$3:$D89,N$2)))</f>
        <v>-</v>
      </c>
      <c r="O89" s="2" t="str">
        <f>IF(O$1&gt;$Z$4,"-",IF(COUNTIF($D$3:$D89,O$2)=$Z$3,"Full",SUMIFS($C$3:$C89,$D$3:$D89,O$2)))</f>
        <v>-</v>
      </c>
      <c r="P89" s="2" t="str">
        <f>IF(P$1&gt;$Z$4,"-",IF(COUNTIF($D$3:$D89,P$2)=$Z$3,"Full",SUMIFS($C$3:$C89,$D$3:$D89,P$2)))</f>
        <v>-</v>
      </c>
      <c r="Q89" s="2" t="str">
        <f>IF(Q$1&gt;$Z$4,"-",IF(COUNTIF($D$3:$D89,Q$2)=$Z$3,"Full",SUMIFS($C$3:$C89,$D$3:$D89,Q$2)))</f>
        <v>-</v>
      </c>
      <c r="R89" s="2" t="str">
        <f>IF(R$1&gt;$Z$4,"-",IF(COUNTIF($D$3:$D89,R$2)=$Z$3,"Full",SUMIFS($C$3:$C89,$D$3:$D89,R$2)))</f>
        <v>-</v>
      </c>
      <c r="S89" s="2" t="str">
        <f>IF(S$1&gt;$Z$4,"-",IF(COUNTIF($D$3:$D89,S$2)=$Z$3,"Full",SUMIFS($C$3:$C89,$D$3:$D89,S$2)))</f>
        <v>-</v>
      </c>
      <c r="T89" s="11" t="str">
        <f>IF(T$1&gt;$Z$4,"-",IF(COUNTIF($D$3:$D89,T$2)=$Z$3,"Full",SUMIFS($C$3:$C89,$D$3:$D89,T$2)))</f>
        <v>-</v>
      </c>
    </row>
    <row r="90" spans="1:20" x14ac:dyDescent="0.25">
      <c r="A90" s="10">
        <f t="shared" si="154"/>
        <v>88</v>
      </c>
      <c r="B90" s="2" t="str">
        <v>Moldova</v>
      </c>
      <c r="C90" s="11">
        <v>0</v>
      </c>
      <c r="D90" s="14" t="str" cm="1">
        <f t="array" aca="1" ref="D90" ca="1">IFERROR(_xlfn.XLOOKUP(MIN(E89:INDIRECT($AA$4&amp;A90+1)),E89:INDIRECT($AA$4&amp;A90+1),$E$2:INDIRECT($AA$4&amp;"$2")),"-")</f>
        <v>-</v>
      </c>
      <c r="E90" s="10" t="str">
        <f ca="1">IF(E$1&gt;$Z$4,"-",IF(COUNTIF($D$3:$D90,E$2)=$Z$3,"Full",SUMIFS($C$3:$C90,$D$3:$D90,E$2)))</f>
        <v>Full</v>
      </c>
      <c r="F90" s="2" t="str">
        <f>IF(F$1&gt;$Z$4,"-",IF(COUNTIF($D$3:$D90,F$2)=$Z$3,"Full",SUMIFS($C$3:$C90,$D$3:$D90,F$2)))</f>
        <v>-</v>
      </c>
      <c r="G90" s="2" t="str">
        <f>IF(G$1&gt;$Z$4,"-",IF(COUNTIF($D$3:$D90,G$2)=$Z$3,"Full",SUMIFS($C$3:$C90,$D$3:$D90,G$2)))</f>
        <v>-</v>
      </c>
      <c r="H90" s="2" t="str">
        <f>IF(H$1&gt;$Z$4,"-",IF(COUNTIF($D$3:$D90,H$2)=$Z$3,"Full",SUMIFS($C$3:$C90,$D$3:$D90,H$2)))</f>
        <v>-</v>
      </c>
      <c r="I90" s="2" t="str">
        <f>IF(I$1&gt;$Z$4,"-",IF(COUNTIF($D$3:$D90,I$2)=$Z$3,"Full",SUMIFS($C$3:$C90,$D$3:$D90,I$2)))</f>
        <v>-</v>
      </c>
      <c r="J90" s="2" t="str">
        <f>IF(J$1&gt;$Z$4,"-",IF(COUNTIF($D$3:$D90,J$2)=$Z$3,"Full",SUMIFS($C$3:$C90,$D$3:$D90,J$2)))</f>
        <v>-</v>
      </c>
      <c r="K90" s="2" t="str">
        <f>IF(K$1&gt;$Z$4,"-",IF(COUNTIF($D$3:$D90,K$2)=$Z$3,"Full",SUMIFS($C$3:$C90,$D$3:$D90,K$2)))</f>
        <v>-</v>
      </c>
      <c r="L90" s="2" t="str">
        <f>IF(L$1&gt;$Z$4,"-",IF(COUNTIF($D$3:$D90,L$2)=$Z$3,"Full",SUMIFS($C$3:$C90,$D$3:$D90,L$2)))</f>
        <v>-</v>
      </c>
      <c r="M90" s="2" t="str">
        <f>IF(M$1&gt;$Z$4,"-",IF(COUNTIF($D$3:$D90,M$2)=$Z$3,"Full",SUMIFS($C$3:$C90,$D$3:$D90,M$2)))</f>
        <v>-</v>
      </c>
      <c r="N90" s="2" t="str">
        <f>IF(N$1&gt;$Z$4,"-",IF(COUNTIF($D$3:$D90,N$2)=$Z$3,"Full",SUMIFS($C$3:$C90,$D$3:$D90,N$2)))</f>
        <v>-</v>
      </c>
      <c r="O90" s="2" t="str">
        <f>IF(O$1&gt;$Z$4,"-",IF(COUNTIF($D$3:$D90,O$2)=$Z$3,"Full",SUMIFS($C$3:$C90,$D$3:$D90,O$2)))</f>
        <v>-</v>
      </c>
      <c r="P90" s="2" t="str">
        <f>IF(P$1&gt;$Z$4,"-",IF(COUNTIF($D$3:$D90,P$2)=$Z$3,"Full",SUMIFS($C$3:$C90,$D$3:$D90,P$2)))</f>
        <v>-</v>
      </c>
      <c r="Q90" s="2" t="str">
        <f>IF(Q$1&gt;$Z$4,"-",IF(COUNTIF($D$3:$D90,Q$2)=$Z$3,"Full",SUMIFS($C$3:$C90,$D$3:$D90,Q$2)))</f>
        <v>-</v>
      </c>
      <c r="R90" s="2" t="str">
        <f>IF(R$1&gt;$Z$4,"-",IF(COUNTIF($D$3:$D90,R$2)=$Z$3,"Full",SUMIFS($C$3:$C90,$D$3:$D90,R$2)))</f>
        <v>-</v>
      </c>
      <c r="S90" s="2" t="str">
        <f>IF(S$1&gt;$Z$4,"-",IF(COUNTIF($D$3:$D90,S$2)=$Z$3,"Full",SUMIFS($C$3:$C90,$D$3:$D90,S$2)))</f>
        <v>-</v>
      </c>
      <c r="T90" s="11" t="str">
        <f>IF(T$1&gt;$Z$4,"-",IF(COUNTIF($D$3:$D90,T$2)=$Z$3,"Full",SUMIFS($C$3:$C90,$D$3:$D90,T$2)))</f>
        <v>-</v>
      </c>
    </row>
    <row r="91" spans="1:20" ht="15.75" thickBot="1" x14ac:dyDescent="0.3">
      <c r="A91" s="12">
        <f t="shared" si="154"/>
        <v>89</v>
      </c>
      <c r="B91" s="8" t="str">
        <v>Syria</v>
      </c>
      <c r="C91" s="9">
        <v>0</v>
      </c>
      <c r="D91" s="15" t="str" cm="1">
        <f t="array" aca="1" ref="D91" ca="1">IFERROR(_xlfn.XLOOKUP(MIN(E90:INDIRECT($AA$4&amp;A91+1)),E90:INDIRECT($AA$4&amp;A91+1),$E$2:INDIRECT($AA$4&amp;"$2")),"-")</f>
        <v>-</v>
      </c>
      <c r="E91" s="12" t="str">
        <f ca="1">IF(E$1&gt;$Z$4,"-",IF(COUNTIF($D$3:$D91,E$2)=$Z$3,"Full",SUMIFS($C$3:$C91,$D$3:$D91,E$2)))</f>
        <v>Full</v>
      </c>
      <c r="F91" s="8" t="str">
        <f>IF(F$1&gt;$Z$4,"-",IF(COUNTIF($D$3:$D91,F$2)=$Z$3,"Full",SUMIFS($C$3:$C91,$D$3:$D91,F$2)))</f>
        <v>-</v>
      </c>
      <c r="G91" s="8" t="str">
        <f>IF(G$1&gt;$Z$4,"-",IF(COUNTIF($D$3:$D91,G$2)=$Z$3,"Full",SUMIFS($C$3:$C91,$D$3:$D91,G$2)))</f>
        <v>-</v>
      </c>
      <c r="H91" s="8" t="str">
        <f>IF(H$1&gt;$Z$4,"-",IF(COUNTIF($D$3:$D91,H$2)=$Z$3,"Full",SUMIFS($C$3:$C91,$D$3:$D91,H$2)))</f>
        <v>-</v>
      </c>
      <c r="I91" s="8" t="str">
        <f>IF(I$1&gt;$Z$4,"-",IF(COUNTIF($D$3:$D91,I$2)=$Z$3,"Full",SUMIFS($C$3:$C91,$D$3:$D91,I$2)))</f>
        <v>-</v>
      </c>
      <c r="J91" s="8" t="str">
        <f>IF(J$1&gt;$Z$4,"-",IF(COUNTIF($D$3:$D91,J$2)=$Z$3,"Full",SUMIFS($C$3:$C91,$D$3:$D91,J$2)))</f>
        <v>-</v>
      </c>
      <c r="K91" s="8" t="str">
        <f>IF(K$1&gt;$Z$4,"-",IF(COUNTIF($D$3:$D91,K$2)=$Z$3,"Full",SUMIFS($C$3:$C91,$D$3:$D91,K$2)))</f>
        <v>-</v>
      </c>
      <c r="L91" s="8" t="str">
        <f>IF(L$1&gt;$Z$4,"-",IF(COUNTIF($D$3:$D91,L$2)=$Z$3,"Full",SUMIFS($C$3:$C91,$D$3:$D91,L$2)))</f>
        <v>-</v>
      </c>
      <c r="M91" s="8" t="str">
        <f>IF(M$1&gt;$Z$4,"-",IF(COUNTIF($D$3:$D91,M$2)=$Z$3,"Full",SUMIFS($C$3:$C91,$D$3:$D91,M$2)))</f>
        <v>-</v>
      </c>
      <c r="N91" s="8" t="str">
        <f>IF(N$1&gt;$Z$4,"-",IF(COUNTIF($D$3:$D91,N$2)=$Z$3,"Full",SUMIFS($C$3:$C91,$D$3:$D91,N$2)))</f>
        <v>-</v>
      </c>
      <c r="O91" s="8" t="str">
        <f>IF(O$1&gt;$Z$4,"-",IF(COUNTIF($D$3:$D91,O$2)=$Z$3,"Full",SUMIFS($C$3:$C91,$D$3:$D91,O$2)))</f>
        <v>-</v>
      </c>
      <c r="P91" s="8" t="str">
        <f>IF(P$1&gt;$Z$4,"-",IF(COUNTIF($D$3:$D91,P$2)=$Z$3,"Full",SUMIFS($C$3:$C91,$D$3:$D91,P$2)))</f>
        <v>-</v>
      </c>
      <c r="Q91" s="8" t="str">
        <f>IF(Q$1&gt;$Z$4,"-",IF(COUNTIF($D$3:$D91,Q$2)=$Z$3,"Full",SUMIFS($C$3:$C91,$D$3:$D91,Q$2)))</f>
        <v>-</v>
      </c>
      <c r="R91" s="8" t="str">
        <f>IF(R$1&gt;$Z$4,"-",IF(COUNTIF($D$3:$D91,R$2)=$Z$3,"Full",SUMIFS($C$3:$C91,$D$3:$D91,R$2)))</f>
        <v>-</v>
      </c>
      <c r="S91" s="8" t="str">
        <f>IF(S$1&gt;$Z$4,"-",IF(COUNTIF($D$3:$D91,S$2)=$Z$3,"Full",SUMIFS($C$3:$C91,$D$3:$D91,S$2)))</f>
        <v>-</v>
      </c>
      <c r="T91" s="9" t="str">
        <f>IF(T$1&gt;$Z$4,"-",IF(COUNTIF($D$3:$D91,T$2)=$Z$3,"Full",SUMIFS($C$3:$C91,$D$3:$D91,T$2)))</f>
        <v>-</v>
      </c>
    </row>
    <row r="92" spans="1:20" x14ac:dyDescent="0.25">
      <c r="A92" s="3" t="str">
        <f t="shared" si="154"/>
        <v/>
      </c>
      <c r="B92" s="4"/>
      <c r="C92" s="4"/>
      <c r="D92" s="4" t="str" cm="1">
        <f t="array" aca="1" ref="D92" ca="1">IFERROR(_xlfn.XLOOKUP(MIN(E91:INDIRECT($AA$4&amp;A92+1)),E91:INDIRECT($AA$4&amp;A92+1),$E$2:INDIRECT($AA$4&amp;"$2")),"-")</f>
        <v>-</v>
      </c>
      <c r="E92" s="4" t="str">
        <f ca="1">IF(E$1&gt;$Z$4,"-",IF(COUNTIF($D$3:$D92,E$2)=$Z$3,"Full",SUMIFS($C$3:$C92,$D$3:$D92,E$2)))</f>
        <v>Full</v>
      </c>
      <c r="F92" s="4" t="str">
        <f>IF(F$1&gt;$Z$4,"-",IF(COUNTIF($D$3:$D92,F$2)=$Z$3,"Full",SUMIFS($C$3:$C92,$D$3:$D92,F$2)))</f>
        <v>-</v>
      </c>
      <c r="G92" s="4" t="str">
        <f>IF(G$1&gt;$Z$4,"-",IF(COUNTIF($D$3:$D92,G$2)=$Z$3,"Full",SUMIFS($C$3:$C92,$D$3:$D92,G$2)))</f>
        <v>-</v>
      </c>
      <c r="H92" s="4" t="str">
        <f>IF(H$1&gt;$Z$4,"-",IF(COUNTIF($D$3:$D92,H$2)=$Z$3,"Full",SUMIFS($C$3:$C92,$D$3:$D92,H$2)))</f>
        <v>-</v>
      </c>
      <c r="I92" s="4" t="str">
        <f>IF(I$1&gt;$Z$4,"-",IF(COUNTIF($D$3:$D92,I$2)=$Z$3,"Full",SUMIFS($C$3:$C92,$D$3:$D92,I$2)))</f>
        <v>-</v>
      </c>
      <c r="J92" s="4" t="str">
        <f>IF(J$1&gt;$Z$4,"-",IF(COUNTIF($D$3:$D92,J$2)=$Z$3,"Full",SUMIFS($C$3:$C92,$D$3:$D92,J$2)))</f>
        <v>-</v>
      </c>
      <c r="K92" s="4" t="str">
        <f>IF(K$1&gt;$Z$4,"-",IF(COUNTIF($D$3:$D92,K$2)=$Z$3,"Full",SUMIFS($C$3:$C92,$D$3:$D92,K$2)))</f>
        <v>-</v>
      </c>
      <c r="L92" s="4" t="str">
        <f>IF(L$1&gt;$Z$4,"-",IF(COUNTIF($D$3:$D92,L$2)=$Z$3,"Full",SUMIFS($C$3:$C92,$D$3:$D92,L$2)))</f>
        <v>-</v>
      </c>
      <c r="M92" s="4" t="str">
        <f>IF(M$1&gt;$Z$4,"-",IF(COUNTIF($D$3:$D92,M$2)=$Z$3,"Full",SUMIFS($C$3:$C92,$D$3:$D92,M$2)))</f>
        <v>-</v>
      </c>
      <c r="N92" s="4" t="str">
        <f>IF(N$1&gt;$Z$4,"-",IF(COUNTIF($D$3:$D92,N$2)=$Z$3,"Full",SUMIFS($C$3:$C92,$D$3:$D92,N$2)))</f>
        <v>-</v>
      </c>
      <c r="O92" s="4" t="str">
        <f>IF(O$1&gt;$Z$4,"-",IF(COUNTIF($D$3:$D92,O$2)=$Z$3,"Full",SUMIFS($C$3:$C92,$D$3:$D92,O$2)))</f>
        <v>-</v>
      </c>
      <c r="P92" s="4" t="str">
        <f>IF(P$1&gt;$Z$4,"-",IF(COUNTIF($D$3:$D92,P$2)=$Z$3,"Full",SUMIFS($C$3:$C92,$D$3:$D92,P$2)))</f>
        <v>-</v>
      </c>
      <c r="Q92" s="4" t="str">
        <f>IF(Q$1&gt;$Z$4,"-",IF(COUNTIF($D$3:$D92,Q$2)=$Z$3,"Full",SUMIFS($C$3:$C92,$D$3:$D92,Q$2)))</f>
        <v>-</v>
      </c>
      <c r="R92" s="4" t="str">
        <f>IF(R$1&gt;$Z$4,"-",IF(COUNTIF($D$3:$D92,R$2)=$Z$3,"Full",SUMIFS($C$3:$C92,$D$3:$D92,R$2)))</f>
        <v>-</v>
      </c>
      <c r="S92" s="4" t="str">
        <f>IF(S$1&gt;$Z$4,"-",IF(COUNTIF($D$3:$D92,S$2)=$Z$3,"Full",SUMIFS($C$3:$C92,$D$3:$D92,S$2)))</f>
        <v>-</v>
      </c>
      <c r="T92" s="5" t="str">
        <f>IF(T$1&gt;$Z$4,"-",IF(COUNTIF($D$3:$D92,T$2)=$Z$3,"Full",SUMIFS($C$3:$C92,$D$3:$D92,T$2)))</f>
        <v>-</v>
      </c>
    </row>
    <row r="93" spans="1:20" x14ac:dyDescent="0.25">
      <c r="A93" s="10" t="str">
        <f t="shared" si="154"/>
        <v/>
      </c>
      <c r="D93" s="2" t="str" cm="1">
        <f t="array" aca="1" ref="D93" ca="1">IFERROR(_xlfn.XLOOKUP(MIN(E92:INDIRECT($AA$4&amp;A93+1)),E92:INDIRECT($AA$4&amp;A93+1),$E$2:INDIRECT($AA$4&amp;"$2")),"-")</f>
        <v>-</v>
      </c>
      <c r="E93" s="2" t="str">
        <f ca="1">IF(E$1&gt;$Z$4,"-",IF(COUNTIF($D$3:$D93,E$2)=$Z$3,"Full",SUMIFS($C$3:$C93,$D$3:$D93,E$2)))</f>
        <v>Full</v>
      </c>
      <c r="F93" s="2" t="str">
        <f>IF(F$1&gt;$Z$4,"-",IF(COUNTIF($D$3:$D93,F$2)=$Z$3,"Full",SUMIFS($C$3:$C93,$D$3:$D93,F$2)))</f>
        <v>-</v>
      </c>
      <c r="G93" s="2" t="str">
        <f>IF(G$1&gt;$Z$4,"-",IF(COUNTIF($D$3:$D93,G$2)=$Z$3,"Full",SUMIFS($C$3:$C93,$D$3:$D93,G$2)))</f>
        <v>-</v>
      </c>
      <c r="H93" s="2" t="str">
        <f>IF(H$1&gt;$Z$4,"-",IF(COUNTIF($D$3:$D93,H$2)=$Z$3,"Full",SUMIFS($C$3:$C93,$D$3:$D93,H$2)))</f>
        <v>-</v>
      </c>
      <c r="I93" s="2" t="str">
        <f>IF(I$1&gt;$Z$4,"-",IF(COUNTIF($D$3:$D93,I$2)=$Z$3,"Full",SUMIFS($C$3:$C93,$D$3:$D93,I$2)))</f>
        <v>-</v>
      </c>
      <c r="J93" s="2" t="str">
        <f>IF(J$1&gt;$Z$4,"-",IF(COUNTIF($D$3:$D93,J$2)=$Z$3,"Full",SUMIFS($C$3:$C93,$D$3:$D93,J$2)))</f>
        <v>-</v>
      </c>
      <c r="K93" s="2" t="str">
        <f>IF(K$1&gt;$Z$4,"-",IF(COUNTIF($D$3:$D93,K$2)=$Z$3,"Full",SUMIFS($C$3:$C93,$D$3:$D93,K$2)))</f>
        <v>-</v>
      </c>
      <c r="L93" s="2" t="str">
        <f>IF(L$1&gt;$Z$4,"-",IF(COUNTIF($D$3:$D93,L$2)=$Z$3,"Full",SUMIFS($C$3:$C93,$D$3:$D93,L$2)))</f>
        <v>-</v>
      </c>
      <c r="M93" s="2" t="str">
        <f>IF(M$1&gt;$Z$4,"-",IF(COUNTIF($D$3:$D93,M$2)=$Z$3,"Full",SUMIFS($C$3:$C93,$D$3:$D93,M$2)))</f>
        <v>-</v>
      </c>
      <c r="N93" s="2" t="str">
        <f>IF(N$1&gt;$Z$4,"-",IF(COUNTIF($D$3:$D93,N$2)=$Z$3,"Full",SUMIFS($C$3:$C93,$D$3:$D93,N$2)))</f>
        <v>-</v>
      </c>
      <c r="O93" s="2" t="str">
        <f>IF(O$1&gt;$Z$4,"-",IF(COUNTIF($D$3:$D93,O$2)=$Z$3,"Full",SUMIFS($C$3:$C93,$D$3:$D93,O$2)))</f>
        <v>-</v>
      </c>
      <c r="P93" s="2" t="str">
        <f>IF(P$1&gt;$Z$4,"-",IF(COUNTIF($D$3:$D93,P$2)=$Z$3,"Full",SUMIFS($C$3:$C93,$D$3:$D93,P$2)))</f>
        <v>-</v>
      </c>
      <c r="Q93" s="2" t="str">
        <f>IF(Q$1&gt;$Z$4,"-",IF(COUNTIF($D$3:$D93,Q$2)=$Z$3,"Full",SUMIFS($C$3:$C93,$D$3:$D93,Q$2)))</f>
        <v>-</v>
      </c>
      <c r="R93" s="2" t="str">
        <f>IF(R$1&gt;$Z$4,"-",IF(COUNTIF($D$3:$D93,R$2)=$Z$3,"Full",SUMIFS($C$3:$C93,$D$3:$D93,R$2)))</f>
        <v>-</v>
      </c>
      <c r="S93" s="2" t="str">
        <f>IF(S$1&gt;$Z$4,"-",IF(COUNTIF($D$3:$D93,S$2)=$Z$3,"Full",SUMIFS($C$3:$C93,$D$3:$D93,S$2)))</f>
        <v>-</v>
      </c>
      <c r="T93" s="11" t="str">
        <f>IF(T$1&gt;$Z$4,"-",IF(COUNTIF($D$3:$D93,T$2)=$Z$3,"Full",SUMIFS($C$3:$C93,$D$3:$D93,T$2)))</f>
        <v>-</v>
      </c>
    </row>
    <row r="94" spans="1:20" x14ac:dyDescent="0.25">
      <c r="A94" s="10" t="str">
        <f t="shared" si="154"/>
        <v/>
      </c>
      <c r="D94" s="2" t="str" cm="1">
        <f t="array" aca="1" ref="D94" ca="1">IFERROR(_xlfn.XLOOKUP(MIN(E93:INDIRECT($AA$4&amp;A94+1)),E93:INDIRECT($AA$4&amp;A94+1),$E$2:INDIRECT($AA$4&amp;"$2")),"-")</f>
        <v>-</v>
      </c>
      <c r="E94" s="2" t="str">
        <f ca="1">IF(E$1&gt;$Z$4,"-",IF(COUNTIF($D$3:$D94,E$2)=$Z$3,"Full",SUMIFS($C$3:$C94,$D$3:$D94,E$2)))</f>
        <v>Full</v>
      </c>
      <c r="F94" s="2" t="str">
        <f>IF(F$1&gt;$Z$4,"-",IF(COUNTIF($D$3:$D94,F$2)=$Z$3,"Full",SUMIFS($C$3:$C94,$D$3:$D94,F$2)))</f>
        <v>-</v>
      </c>
      <c r="G94" s="2" t="str">
        <f>IF(G$1&gt;$Z$4,"-",IF(COUNTIF($D$3:$D94,G$2)=$Z$3,"Full",SUMIFS($C$3:$C94,$D$3:$D94,G$2)))</f>
        <v>-</v>
      </c>
      <c r="H94" s="2" t="str">
        <f>IF(H$1&gt;$Z$4,"-",IF(COUNTIF($D$3:$D94,H$2)=$Z$3,"Full",SUMIFS($C$3:$C94,$D$3:$D94,H$2)))</f>
        <v>-</v>
      </c>
      <c r="I94" s="2" t="str">
        <f>IF(I$1&gt;$Z$4,"-",IF(COUNTIF($D$3:$D94,I$2)=$Z$3,"Full",SUMIFS($C$3:$C94,$D$3:$D94,I$2)))</f>
        <v>-</v>
      </c>
      <c r="J94" s="2" t="str">
        <f>IF(J$1&gt;$Z$4,"-",IF(COUNTIF($D$3:$D94,J$2)=$Z$3,"Full",SUMIFS($C$3:$C94,$D$3:$D94,J$2)))</f>
        <v>-</v>
      </c>
      <c r="K94" s="2" t="str">
        <f>IF(K$1&gt;$Z$4,"-",IF(COUNTIF($D$3:$D94,K$2)=$Z$3,"Full",SUMIFS($C$3:$C94,$D$3:$D94,K$2)))</f>
        <v>-</v>
      </c>
      <c r="L94" s="2" t="str">
        <f>IF(L$1&gt;$Z$4,"-",IF(COUNTIF($D$3:$D94,L$2)=$Z$3,"Full",SUMIFS($C$3:$C94,$D$3:$D94,L$2)))</f>
        <v>-</v>
      </c>
      <c r="M94" s="2" t="str">
        <f>IF(M$1&gt;$Z$4,"-",IF(COUNTIF($D$3:$D94,M$2)=$Z$3,"Full",SUMIFS($C$3:$C94,$D$3:$D94,M$2)))</f>
        <v>-</v>
      </c>
      <c r="N94" s="2" t="str">
        <f>IF(N$1&gt;$Z$4,"-",IF(COUNTIF($D$3:$D94,N$2)=$Z$3,"Full",SUMIFS($C$3:$C94,$D$3:$D94,N$2)))</f>
        <v>-</v>
      </c>
      <c r="O94" s="2" t="str">
        <f>IF(O$1&gt;$Z$4,"-",IF(COUNTIF($D$3:$D94,O$2)=$Z$3,"Full",SUMIFS($C$3:$C94,$D$3:$D94,O$2)))</f>
        <v>-</v>
      </c>
      <c r="P94" s="2" t="str">
        <f>IF(P$1&gt;$Z$4,"-",IF(COUNTIF($D$3:$D94,P$2)=$Z$3,"Full",SUMIFS($C$3:$C94,$D$3:$D94,P$2)))</f>
        <v>-</v>
      </c>
      <c r="Q94" s="2" t="str">
        <f>IF(Q$1&gt;$Z$4,"-",IF(COUNTIF($D$3:$D94,Q$2)=$Z$3,"Full",SUMIFS($C$3:$C94,$D$3:$D94,Q$2)))</f>
        <v>-</v>
      </c>
      <c r="R94" s="2" t="str">
        <f>IF(R$1&gt;$Z$4,"-",IF(COUNTIF($D$3:$D94,R$2)=$Z$3,"Full",SUMIFS($C$3:$C94,$D$3:$D94,R$2)))</f>
        <v>-</v>
      </c>
      <c r="S94" s="2" t="str">
        <f>IF(S$1&gt;$Z$4,"-",IF(COUNTIF($D$3:$D94,S$2)=$Z$3,"Full",SUMIFS($C$3:$C94,$D$3:$D94,S$2)))</f>
        <v>-</v>
      </c>
      <c r="T94" s="11" t="str">
        <f>IF(T$1&gt;$Z$4,"-",IF(COUNTIF($D$3:$D94,T$2)=$Z$3,"Full",SUMIFS($C$3:$C94,$D$3:$D94,T$2)))</f>
        <v>-</v>
      </c>
    </row>
    <row r="95" spans="1:20" x14ac:dyDescent="0.25">
      <c r="A95" s="10" t="str">
        <f t="shared" si="154"/>
        <v/>
      </c>
      <c r="D95" s="2" t="str" cm="1">
        <f t="array" aca="1" ref="D95" ca="1">IFERROR(_xlfn.XLOOKUP(MIN(E94:INDIRECT($AA$4&amp;A95+1)),E94:INDIRECT($AA$4&amp;A95+1),$E$2:INDIRECT($AA$4&amp;"$2")),"-")</f>
        <v>-</v>
      </c>
      <c r="E95" s="2" t="str">
        <f ca="1">IF(E$1&gt;$Z$4,"-",IF(COUNTIF($D$3:$D95,E$2)=$Z$3,"Full",SUMIFS($C$3:$C95,$D$3:$D95,E$2)))</f>
        <v>Full</v>
      </c>
      <c r="F95" s="2" t="str">
        <f>IF(F$1&gt;$Z$4,"-",IF(COUNTIF($D$3:$D95,F$2)=$Z$3,"Full",SUMIFS($C$3:$C95,$D$3:$D95,F$2)))</f>
        <v>-</v>
      </c>
      <c r="G95" s="2" t="str">
        <f>IF(G$1&gt;$Z$4,"-",IF(COUNTIF($D$3:$D95,G$2)=$Z$3,"Full",SUMIFS($C$3:$C95,$D$3:$D95,G$2)))</f>
        <v>-</v>
      </c>
      <c r="H95" s="2" t="str">
        <f>IF(H$1&gt;$Z$4,"-",IF(COUNTIF($D$3:$D95,H$2)=$Z$3,"Full",SUMIFS($C$3:$C95,$D$3:$D95,H$2)))</f>
        <v>-</v>
      </c>
      <c r="I95" s="2" t="str">
        <f>IF(I$1&gt;$Z$4,"-",IF(COUNTIF($D$3:$D95,I$2)=$Z$3,"Full",SUMIFS($C$3:$C95,$D$3:$D95,I$2)))</f>
        <v>-</v>
      </c>
      <c r="J95" s="2" t="str">
        <f>IF(J$1&gt;$Z$4,"-",IF(COUNTIF($D$3:$D95,J$2)=$Z$3,"Full",SUMIFS($C$3:$C95,$D$3:$D95,J$2)))</f>
        <v>-</v>
      </c>
      <c r="K95" s="2" t="str">
        <f>IF(K$1&gt;$Z$4,"-",IF(COUNTIF($D$3:$D95,K$2)=$Z$3,"Full",SUMIFS($C$3:$C95,$D$3:$D95,K$2)))</f>
        <v>-</v>
      </c>
      <c r="L95" s="2" t="str">
        <f>IF(L$1&gt;$Z$4,"-",IF(COUNTIF($D$3:$D95,L$2)=$Z$3,"Full",SUMIFS($C$3:$C95,$D$3:$D95,L$2)))</f>
        <v>-</v>
      </c>
      <c r="M95" s="2" t="str">
        <f>IF(M$1&gt;$Z$4,"-",IF(COUNTIF($D$3:$D95,M$2)=$Z$3,"Full",SUMIFS($C$3:$C95,$D$3:$D95,M$2)))</f>
        <v>-</v>
      </c>
      <c r="N95" s="2" t="str">
        <f>IF(N$1&gt;$Z$4,"-",IF(COUNTIF($D$3:$D95,N$2)=$Z$3,"Full",SUMIFS($C$3:$C95,$D$3:$D95,N$2)))</f>
        <v>-</v>
      </c>
      <c r="O95" s="2" t="str">
        <f>IF(O$1&gt;$Z$4,"-",IF(COUNTIF($D$3:$D95,O$2)=$Z$3,"Full",SUMIFS($C$3:$C95,$D$3:$D95,O$2)))</f>
        <v>-</v>
      </c>
      <c r="P95" s="2" t="str">
        <f>IF(P$1&gt;$Z$4,"-",IF(COUNTIF($D$3:$D95,P$2)=$Z$3,"Full",SUMIFS($C$3:$C95,$D$3:$D95,P$2)))</f>
        <v>-</v>
      </c>
      <c r="Q95" s="2" t="str">
        <f>IF(Q$1&gt;$Z$4,"-",IF(COUNTIF($D$3:$D95,Q$2)=$Z$3,"Full",SUMIFS($C$3:$C95,$D$3:$D95,Q$2)))</f>
        <v>-</v>
      </c>
      <c r="R95" s="2" t="str">
        <f>IF(R$1&gt;$Z$4,"-",IF(COUNTIF($D$3:$D95,R$2)=$Z$3,"Full",SUMIFS($C$3:$C95,$D$3:$D95,R$2)))</f>
        <v>-</v>
      </c>
      <c r="S95" s="2" t="str">
        <f>IF(S$1&gt;$Z$4,"-",IF(COUNTIF($D$3:$D95,S$2)=$Z$3,"Full",SUMIFS($C$3:$C95,$D$3:$D95,S$2)))</f>
        <v>-</v>
      </c>
      <c r="T95" s="11" t="str">
        <f>IF(T$1&gt;$Z$4,"-",IF(COUNTIF($D$3:$D95,T$2)=$Z$3,"Full",SUMIFS($C$3:$C95,$D$3:$D95,T$2)))</f>
        <v>-</v>
      </c>
    </row>
    <row r="96" spans="1:20" x14ac:dyDescent="0.25">
      <c r="A96" s="10" t="str">
        <f t="shared" si="154"/>
        <v/>
      </c>
      <c r="D96" s="2" t="str" cm="1">
        <f t="array" aca="1" ref="D96" ca="1">IFERROR(_xlfn.XLOOKUP(MIN(E95:INDIRECT($AA$4&amp;A96+1)),E95:INDIRECT($AA$4&amp;A96+1),$E$2:INDIRECT($AA$4&amp;"$2")),"-")</f>
        <v>-</v>
      </c>
      <c r="E96" s="2" t="str">
        <f ca="1">IF(E$1&gt;$Z$4,"-",IF(COUNTIF($D$3:$D96,E$2)=$Z$3,"Full",SUMIFS($C$3:$C96,$D$3:$D96,E$2)))</f>
        <v>Full</v>
      </c>
      <c r="F96" s="2" t="str">
        <f>IF(F$1&gt;$Z$4,"-",IF(COUNTIF($D$3:$D96,F$2)=$Z$3,"Full",SUMIFS($C$3:$C96,$D$3:$D96,F$2)))</f>
        <v>-</v>
      </c>
      <c r="G96" s="2" t="str">
        <f>IF(G$1&gt;$Z$4,"-",IF(COUNTIF($D$3:$D96,G$2)=$Z$3,"Full",SUMIFS($C$3:$C96,$D$3:$D96,G$2)))</f>
        <v>-</v>
      </c>
      <c r="H96" s="2" t="str">
        <f>IF(H$1&gt;$Z$4,"-",IF(COUNTIF($D$3:$D96,H$2)=$Z$3,"Full",SUMIFS($C$3:$C96,$D$3:$D96,H$2)))</f>
        <v>-</v>
      </c>
      <c r="I96" s="2" t="str">
        <f>IF(I$1&gt;$Z$4,"-",IF(COUNTIF($D$3:$D96,I$2)=$Z$3,"Full",SUMIFS($C$3:$C96,$D$3:$D96,I$2)))</f>
        <v>-</v>
      </c>
      <c r="J96" s="2" t="str">
        <f>IF(J$1&gt;$Z$4,"-",IF(COUNTIF($D$3:$D96,J$2)=$Z$3,"Full",SUMIFS($C$3:$C96,$D$3:$D96,J$2)))</f>
        <v>-</v>
      </c>
      <c r="K96" s="2" t="str">
        <f>IF(K$1&gt;$Z$4,"-",IF(COUNTIF($D$3:$D96,K$2)=$Z$3,"Full",SUMIFS($C$3:$C96,$D$3:$D96,K$2)))</f>
        <v>-</v>
      </c>
      <c r="L96" s="2" t="str">
        <f>IF(L$1&gt;$Z$4,"-",IF(COUNTIF($D$3:$D96,L$2)=$Z$3,"Full",SUMIFS($C$3:$C96,$D$3:$D96,L$2)))</f>
        <v>-</v>
      </c>
      <c r="M96" s="2" t="str">
        <f>IF(M$1&gt;$Z$4,"-",IF(COUNTIF($D$3:$D96,M$2)=$Z$3,"Full",SUMIFS($C$3:$C96,$D$3:$D96,M$2)))</f>
        <v>-</v>
      </c>
      <c r="N96" s="2" t="str">
        <f>IF(N$1&gt;$Z$4,"-",IF(COUNTIF($D$3:$D96,N$2)=$Z$3,"Full",SUMIFS($C$3:$C96,$D$3:$D96,N$2)))</f>
        <v>-</v>
      </c>
      <c r="O96" s="2" t="str">
        <f>IF(O$1&gt;$Z$4,"-",IF(COUNTIF($D$3:$D96,O$2)=$Z$3,"Full",SUMIFS($C$3:$C96,$D$3:$D96,O$2)))</f>
        <v>-</v>
      </c>
      <c r="P96" s="2" t="str">
        <f>IF(P$1&gt;$Z$4,"-",IF(COUNTIF($D$3:$D96,P$2)=$Z$3,"Full",SUMIFS($C$3:$C96,$D$3:$D96,P$2)))</f>
        <v>-</v>
      </c>
      <c r="Q96" s="2" t="str">
        <f>IF(Q$1&gt;$Z$4,"-",IF(COUNTIF($D$3:$D96,Q$2)=$Z$3,"Full",SUMIFS($C$3:$C96,$D$3:$D96,Q$2)))</f>
        <v>-</v>
      </c>
      <c r="R96" s="2" t="str">
        <f>IF(R$1&gt;$Z$4,"-",IF(COUNTIF($D$3:$D96,R$2)=$Z$3,"Full",SUMIFS($C$3:$C96,$D$3:$D96,R$2)))</f>
        <v>-</v>
      </c>
      <c r="S96" s="2" t="str">
        <f>IF(S$1&gt;$Z$4,"-",IF(COUNTIF($D$3:$D96,S$2)=$Z$3,"Full",SUMIFS($C$3:$C96,$D$3:$D96,S$2)))</f>
        <v>-</v>
      </c>
      <c r="T96" s="11" t="str">
        <f>IF(T$1&gt;$Z$4,"-",IF(COUNTIF($D$3:$D96,T$2)=$Z$3,"Full",SUMIFS($C$3:$C96,$D$3:$D96,T$2)))</f>
        <v>-</v>
      </c>
    </row>
    <row r="97" spans="1:20" x14ac:dyDescent="0.25">
      <c r="A97" s="10" t="str">
        <f t="shared" si="154"/>
        <v/>
      </c>
      <c r="D97" s="2" t="str" cm="1">
        <f t="array" aca="1" ref="D97" ca="1">IFERROR(_xlfn.XLOOKUP(MIN(E96:INDIRECT($AA$4&amp;A97+1)),E96:INDIRECT($AA$4&amp;A97+1),$E$2:INDIRECT($AA$4&amp;"$2")),"-")</f>
        <v>-</v>
      </c>
      <c r="E97" s="2" t="str">
        <f ca="1">IF(E$1&gt;$Z$4,"-",IF(COUNTIF($D$3:$D97,E$2)=$Z$3,"Full",SUMIFS($C$3:$C97,$D$3:$D97,E$2)))</f>
        <v>Full</v>
      </c>
      <c r="F97" s="2" t="str">
        <f>IF(F$1&gt;$Z$4,"-",IF(COUNTIF($D$3:$D97,F$2)=$Z$3,"Full",SUMIFS($C$3:$C97,$D$3:$D97,F$2)))</f>
        <v>-</v>
      </c>
      <c r="G97" s="2" t="str">
        <f>IF(G$1&gt;$Z$4,"-",IF(COUNTIF($D$3:$D97,G$2)=$Z$3,"Full",SUMIFS($C$3:$C97,$D$3:$D97,G$2)))</f>
        <v>-</v>
      </c>
      <c r="H97" s="2" t="str">
        <f>IF(H$1&gt;$Z$4,"-",IF(COUNTIF($D$3:$D97,H$2)=$Z$3,"Full",SUMIFS($C$3:$C97,$D$3:$D97,H$2)))</f>
        <v>-</v>
      </c>
      <c r="I97" s="2" t="str">
        <f>IF(I$1&gt;$Z$4,"-",IF(COUNTIF($D$3:$D97,I$2)=$Z$3,"Full",SUMIFS($C$3:$C97,$D$3:$D97,I$2)))</f>
        <v>-</v>
      </c>
      <c r="J97" s="2" t="str">
        <f>IF(J$1&gt;$Z$4,"-",IF(COUNTIF($D$3:$D97,J$2)=$Z$3,"Full",SUMIFS($C$3:$C97,$D$3:$D97,J$2)))</f>
        <v>-</v>
      </c>
      <c r="K97" s="2" t="str">
        <f>IF(K$1&gt;$Z$4,"-",IF(COUNTIF($D$3:$D97,K$2)=$Z$3,"Full",SUMIFS($C$3:$C97,$D$3:$D97,K$2)))</f>
        <v>-</v>
      </c>
      <c r="L97" s="2" t="str">
        <f>IF(L$1&gt;$Z$4,"-",IF(COUNTIF($D$3:$D97,L$2)=$Z$3,"Full",SUMIFS($C$3:$C97,$D$3:$D97,L$2)))</f>
        <v>-</v>
      </c>
      <c r="M97" s="2" t="str">
        <f>IF(M$1&gt;$Z$4,"-",IF(COUNTIF($D$3:$D97,M$2)=$Z$3,"Full",SUMIFS($C$3:$C97,$D$3:$D97,M$2)))</f>
        <v>-</v>
      </c>
      <c r="N97" s="2" t="str">
        <f>IF(N$1&gt;$Z$4,"-",IF(COUNTIF($D$3:$D97,N$2)=$Z$3,"Full",SUMIFS($C$3:$C97,$D$3:$D97,N$2)))</f>
        <v>-</v>
      </c>
      <c r="O97" s="2" t="str">
        <f>IF(O$1&gt;$Z$4,"-",IF(COUNTIF($D$3:$D97,O$2)=$Z$3,"Full",SUMIFS($C$3:$C97,$D$3:$D97,O$2)))</f>
        <v>-</v>
      </c>
      <c r="P97" s="2" t="str">
        <f>IF(P$1&gt;$Z$4,"-",IF(COUNTIF($D$3:$D97,P$2)=$Z$3,"Full",SUMIFS($C$3:$C97,$D$3:$D97,P$2)))</f>
        <v>-</v>
      </c>
      <c r="Q97" s="2" t="str">
        <f>IF(Q$1&gt;$Z$4,"-",IF(COUNTIF($D$3:$D97,Q$2)=$Z$3,"Full",SUMIFS($C$3:$C97,$D$3:$D97,Q$2)))</f>
        <v>-</v>
      </c>
      <c r="R97" s="2" t="str">
        <f>IF(R$1&gt;$Z$4,"-",IF(COUNTIF($D$3:$D97,R$2)=$Z$3,"Full",SUMIFS($C$3:$C97,$D$3:$D97,R$2)))</f>
        <v>-</v>
      </c>
      <c r="S97" s="2" t="str">
        <f>IF(S$1&gt;$Z$4,"-",IF(COUNTIF($D$3:$D97,S$2)=$Z$3,"Full",SUMIFS($C$3:$C97,$D$3:$D97,S$2)))</f>
        <v>-</v>
      </c>
      <c r="T97" s="11" t="str">
        <f>IF(T$1&gt;$Z$4,"-",IF(COUNTIF($D$3:$D97,T$2)=$Z$3,"Full",SUMIFS($C$3:$C97,$D$3:$D97,T$2)))</f>
        <v>-</v>
      </c>
    </row>
    <row r="98" spans="1:20" x14ac:dyDescent="0.25">
      <c r="A98" s="10" t="str">
        <f t="shared" si="154"/>
        <v/>
      </c>
      <c r="D98" s="2" t="str" cm="1">
        <f t="array" aca="1" ref="D98" ca="1">IFERROR(_xlfn.XLOOKUP(MIN(E97:INDIRECT($AA$4&amp;A98+1)),E97:INDIRECT($AA$4&amp;A98+1),$E$2:INDIRECT($AA$4&amp;"$2")),"-")</f>
        <v>-</v>
      </c>
      <c r="E98" s="2" t="str">
        <f ca="1">IF(E$1&gt;$Z$4,"-",IF(COUNTIF($D$3:$D98,E$2)=$Z$3,"Full",SUMIFS($C$3:$C98,$D$3:$D98,E$2)))</f>
        <v>Full</v>
      </c>
      <c r="F98" s="2" t="str">
        <f>IF(F$1&gt;$Z$4,"-",IF(COUNTIF($D$3:$D98,F$2)=$Z$3,"Full",SUMIFS($C$3:$C98,$D$3:$D98,F$2)))</f>
        <v>-</v>
      </c>
      <c r="G98" s="2" t="str">
        <f>IF(G$1&gt;$Z$4,"-",IF(COUNTIF($D$3:$D98,G$2)=$Z$3,"Full",SUMIFS($C$3:$C98,$D$3:$D98,G$2)))</f>
        <v>-</v>
      </c>
      <c r="H98" s="2" t="str">
        <f>IF(H$1&gt;$Z$4,"-",IF(COUNTIF($D$3:$D98,H$2)=$Z$3,"Full",SUMIFS($C$3:$C98,$D$3:$D98,H$2)))</f>
        <v>-</v>
      </c>
      <c r="I98" s="2" t="str">
        <f>IF(I$1&gt;$Z$4,"-",IF(COUNTIF($D$3:$D98,I$2)=$Z$3,"Full",SUMIFS($C$3:$C98,$D$3:$D98,I$2)))</f>
        <v>-</v>
      </c>
      <c r="J98" s="2" t="str">
        <f>IF(J$1&gt;$Z$4,"-",IF(COUNTIF($D$3:$D98,J$2)=$Z$3,"Full",SUMIFS($C$3:$C98,$D$3:$D98,J$2)))</f>
        <v>-</v>
      </c>
      <c r="K98" s="2" t="str">
        <f>IF(K$1&gt;$Z$4,"-",IF(COUNTIF($D$3:$D98,K$2)=$Z$3,"Full",SUMIFS($C$3:$C98,$D$3:$D98,K$2)))</f>
        <v>-</v>
      </c>
      <c r="L98" s="2" t="str">
        <f>IF(L$1&gt;$Z$4,"-",IF(COUNTIF($D$3:$D98,L$2)=$Z$3,"Full",SUMIFS($C$3:$C98,$D$3:$D98,L$2)))</f>
        <v>-</v>
      </c>
      <c r="M98" s="2" t="str">
        <f>IF(M$1&gt;$Z$4,"-",IF(COUNTIF($D$3:$D98,M$2)=$Z$3,"Full",SUMIFS($C$3:$C98,$D$3:$D98,M$2)))</f>
        <v>-</v>
      </c>
      <c r="N98" s="2" t="str">
        <f>IF(N$1&gt;$Z$4,"-",IF(COUNTIF($D$3:$D98,N$2)=$Z$3,"Full",SUMIFS($C$3:$C98,$D$3:$D98,N$2)))</f>
        <v>-</v>
      </c>
      <c r="O98" s="2" t="str">
        <f>IF(O$1&gt;$Z$4,"-",IF(COUNTIF($D$3:$D98,O$2)=$Z$3,"Full",SUMIFS($C$3:$C98,$D$3:$D98,O$2)))</f>
        <v>-</v>
      </c>
      <c r="P98" s="2" t="str">
        <f>IF(P$1&gt;$Z$4,"-",IF(COUNTIF($D$3:$D98,P$2)=$Z$3,"Full",SUMIFS($C$3:$C98,$D$3:$D98,P$2)))</f>
        <v>-</v>
      </c>
      <c r="Q98" s="2" t="str">
        <f>IF(Q$1&gt;$Z$4,"-",IF(COUNTIF($D$3:$D98,Q$2)=$Z$3,"Full",SUMIFS($C$3:$C98,$D$3:$D98,Q$2)))</f>
        <v>-</v>
      </c>
      <c r="R98" s="2" t="str">
        <f>IF(R$1&gt;$Z$4,"-",IF(COUNTIF($D$3:$D98,R$2)=$Z$3,"Full",SUMIFS($C$3:$C98,$D$3:$D98,R$2)))</f>
        <v>-</v>
      </c>
      <c r="S98" s="2" t="str">
        <f>IF(S$1&gt;$Z$4,"-",IF(COUNTIF($D$3:$D98,S$2)=$Z$3,"Full",SUMIFS($C$3:$C98,$D$3:$D98,S$2)))</f>
        <v>-</v>
      </c>
      <c r="T98" s="11" t="str">
        <f>IF(T$1&gt;$Z$4,"-",IF(COUNTIF($D$3:$D98,T$2)=$Z$3,"Full",SUMIFS($C$3:$C98,$D$3:$D98,T$2)))</f>
        <v>-</v>
      </c>
    </row>
    <row r="99" spans="1:20" x14ac:dyDescent="0.25">
      <c r="A99" s="10" t="str">
        <f t="shared" si="154"/>
        <v/>
      </c>
      <c r="D99" s="2" t="str" cm="1">
        <f t="array" aca="1" ref="D99" ca="1">IFERROR(_xlfn.XLOOKUP(MIN(E98:INDIRECT($AA$4&amp;A99+1)),E98:INDIRECT($AA$4&amp;A99+1),$E$2:INDIRECT($AA$4&amp;"$2")),"-")</f>
        <v>-</v>
      </c>
      <c r="E99" s="2" t="str">
        <f ca="1">IF(E$1&gt;$Z$4,"-",IF(COUNTIF($D$3:$D99,E$2)=$Z$3,"Full",SUMIFS($C$3:$C99,$D$3:$D99,E$2)))</f>
        <v>Full</v>
      </c>
      <c r="F99" s="2" t="str">
        <f>IF(F$1&gt;$Z$4,"-",IF(COUNTIF($D$3:$D99,F$2)=$Z$3,"Full",SUMIFS($C$3:$C99,$D$3:$D99,F$2)))</f>
        <v>-</v>
      </c>
      <c r="G99" s="2" t="str">
        <f>IF(G$1&gt;$Z$4,"-",IF(COUNTIF($D$3:$D99,G$2)=$Z$3,"Full",SUMIFS($C$3:$C99,$D$3:$D99,G$2)))</f>
        <v>-</v>
      </c>
      <c r="H99" s="2" t="str">
        <f>IF(H$1&gt;$Z$4,"-",IF(COUNTIF($D$3:$D99,H$2)=$Z$3,"Full",SUMIFS($C$3:$C99,$D$3:$D99,H$2)))</f>
        <v>-</v>
      </c>
      <c r="I99" s="2" t="str">
        <f>IF(I$1&gt;$Z$4,"-",IF(COUNTIF($D$3:$D99,I$2)=$Z$3,"Full",SUMIFS($C$3:$C99,$D$3:$D99,I$2)))</f>
        <v>-</v>
      </c>
      <c r="J99" s="2" t="str">
        <f>IF(J$1&gt;$Z$4,"-",IF(COUNTIF($D$3:$D99,J$2)=$Z$3,"Full",SUMIFS($C$3:$C99,$D$3:$D99,J$2)))</f>
        <v>-</v>
      </c>
      <c r="K99" s="2" t="str">
        <f>IF(K$1&gt;$Z$4,"-",IF(COUNTIF($D$3:$D99,K$2)=$Z$3,"Full",SUMIFS($C$3:$C99,$D$3:$D99,K$2)))</f>
        <v>-</v>
      </c>
      <c r="L99" s="2" t="str">
        <f>IF(L$1&gt;$Z$4,"-",IF(COUNTIF($D$3:$D99,L$2)=$Z$3,"Full",SUMIFS($C$3:$C99,$D$3:$D99,L$2)))</f>
        <v>-</v>
      </c>
      <c r="M99" s="2" t="str">
        <f>IF(M$1&gt;$Z$4,"-",IF(COUNTIF($D$3:$D99,M$2)=$Z$3,"Full",SUMIFS($C$3:$C99,$D$3:$D99,M$2)))</f>
        <v>-</v>
      </c>
      <c r="N99" s="2" t="str">
        <f>IF(N$1&gt;$Z$4,"-",IF(COUNTIF($D$3:$D99,N$2)=$Z$3,"Full",SUMIFS($C$3:$C99,$D$3:$D99,N$2)))</f>
        <v>-</v>
      </c>
      <c r="O99" s="2" t="str">
        <f>IF(O$1&gt;$Z$4,"-",IF(COUNTIF($D$3:$D99,O$2)=$Z$3,"Full",SUMIFS($C$3:$C99,$D$3:$D99,O$2)))</f>
        <v>-</v>
      </c>
      <c r="P99" s="2" t="str">
        <f>IF(P$1&gt;$Z$4,"-",IF(COUNTIF($D$3:$D99,P$2)=$Z$3,"Full",SUMIFS($C$3:$C99,$D$3:$D99,P$2)))</f>
        <v>-</v>
      </c>
      <c r="Q99" s="2" t="str">
        <f>IF(Q$1&gt;$Z$4,"-",IF(COUNTIF($D$3:$D99,Q$2)=$Z$3,"Full",SUMIFS($C$3:$C99,$D$3:$D99,Q$2)))</f>
        <v>-</v>
      </c>
      <c r="R99" s="2" t="str">
        <f>IF(R$1&gt;$Z$4,"-",IF(COUNTIF($D$3:$D99,R$2)=$Z$3,"Full",SUMIFS($C$3:$C99,$D$3:$D99,R$2)))</f>
        <v>-</v>
      </c>
      <c r="S99" s="2" t="str">
        <f>IF(S$1&gt;$Z$4,"-",IF(COUNTIF($D$3:$D99,S$2)=$Z$3,"Full",SUMIFS($C$3:$C99,$D$3:$D99,S$2)))</f>
        <v>-</v>
      </c>
      <c r="T99" s="11" t="str">
        <f>IF(T$1&gt;$Z$4,"-",IF(COUNTIF($D$3:$D99,T$2)=$Z$3,"Full",SUMIFS($C$3:$C99,$D$3:$D99,T$2)))</f>
        <v>-</v>
      </c>
    </row>
    <row r="100" spans="1:20" x14ac:dyDescent="0.25">
      <c r="A100" s="10" t="str">
        <f t="shared" si="154"/>
        <v/>
      </c>
      <c r="D100" s="2" t="str" cm="1">
        <f t="array" aca="1" ref="D100" ca="1">IFERROR(_xlfn.XLOOKUP(MIN(E99:INDIRECT($AA$4&amp;A100+1)),E99:INDIRECT($AA$4&amp;A100+1),$E$2:INDIRECT($AA$4&amp;"$2")),"-")</f>
        <v>-</v>
      </c>
      <c r="E100" s="2" t="str">
        <f ca="1">IF(E$1&gt;$Z$4,"-",IF(COUNTIF($D$3:$D100,E$2)=$Z$3,"Full",SUMIFS($C$3:$C100,$D$3:$D100,E$2)))</f>
        <v>Full</v>
      </c>
      <c r="F100" s="2" t="str">
        <f>IF(F$1&gt;$Z$4,"-",IF(COUNTIF($D$3:$D100,F$2)=$Z$3,"Full",SUMIFS($C$3:$C100,$D$3:$D100,F$2)))</f>
        <v>-</v>
      </c>
      <c r="G100" s="2" t="str">
        <f>IF(G$1&gt;$Z$4,"-",IF(COUNTIF($D$3:$D100,G$2)=$Z$3,"Full",SUMIFS($C$3:$C100,$D$3:$D100,G$2)))</f>
        <v>-</v>
      </c>
      <c r="H100" s="2" t="str">
        <f>IF(H$1&gt;$Z$4,"-",IF(COUNTIF($D$3:$D100,H$2)=$Z$3,"Full",SUMIFS($C$3:$C100,$D$3:$D100,H$2)))</f>
        <v>-</v>
      </c>
      <c r="I100" s="2" t="str">
        <f>IF(I$1&gt;$Z$4,"-",IF(COUNTIF($D$3:$D100,I$2)=$Z$3,"Full",SUMIFS($C$3:$C100,$D$3:$D100,I$2)))</f>
        <v>-</v>
      </c>
      <c r="J100" s="2" t="str">
        <f>IF(J$1&gt;$Z$4,"-",IF(COUNTIF($D$3:$D100,J$2)=$Z$3,"Full",SUMIFS($C$3:$C100,$D$3:$D100,J$2)))</f>
        <v>-</v>
      </c>
      <c r="K100" s="2" t="str">
        <f>IF(K$1&gt;$Z$4,"-",IF(COUNTIF($D$3:$D100,K$2)=$Z$3,"Full",SUMIFS($C$3:$C100,$D$3:$D100,K$2)))</f>
        <v>-</v>
      </c>
      <c r="L100" s="2" t="str">
        <f>IF(L$1&gt;$Z$4,"-",IF(COUNTIF($D$3:$D100,L$2)=$Z$3,"Full",SUMIFS($C$3:$C100,$D$3:$D100,L$2)))</f>
        <v>-</v>
      </c>
      <c r="M100" s="2" t="str">
        <f>IF(M$1&gt;$Z$4,"-",IF(COUNTIF($D$3:$D100,M$2)=$Z$3,"Full",SUMIFS($C$3:$C100,$D$3:$D100,M$2)))</f>
        <v>-</v>
      </c>
      <c r="N100" s="2" t="str">
        <f>IF(N$1&gt;$Z$4,"-",IF(COUNTIF($D$3:$D100,N$2)=$Z$3,"Full",SUMIFS($C$3:$C100,$D$3:$D100,N$2)))</f>
        <v>-</v>
      </c>
      <c r="O100" s="2" t="str">
        <f>IF(O$1&gt;$Z$4,"-",IF(COUNTIF($D$3:$D100,O$2)=$Z$3,"Full",SUMIFS($C$3:$C100,$D$3:$D100,O$2)))</f>
        <v>-</v>
      </c>
      <c r="P100" s="2" t="str">
        <f>IF(P$1&gt;$Z$4,"-",IF(COUNTIF($D$3:$D100,P$2)=$Z$3,"Full",SUMIFS($C$3:$C100,$D$3:$D100,P$2)))</f>
        <v>-</v>
      </c>
      <c r="Q100" s="2" t="str">
        <f>IF(Q$1&gt;$Z$4,"-",IF(COUNTIF($D$3:$D100,Q$2)=$Z$3,"Full",SUMIFS($C$3:$C100,$D$3:$D100,Q$2)))</f>
        <v>-</v>
      </c>
      <c r="R100" s="2" t="str">
        <f>IF(R$1&gt;$Z$4,"-",IF(COUNTIF($D$3:$D100,R$2)=$Z$3,"Full",SUMIFS($C$3:$C100,$D$3:$D100,R$2)))</f>
        <v>-</v>
      </c>
      <c r="S100" s="2" t="str">
        <f>IF(S$1&gt;$Z$4,"-",IF(COUNTIF($D$3:$D100,S$2)=$Z$3,"Full",SUMIFS($C$3:$C100,$D$3:$D100,S$2)))</f>
        <v>-</v>
      </c>
      <c r="T100" s="11" t="str">
        <f>IF(T$1&gt;$Z$4,"-",IF(COUNTIF($D$3:$D100,T$2)=$Z$3,"Full",SUMIFS($C$3:$C100,$D$3:$D100,T$2)))</f>
        <v>-</v>
      </c>
    </row>
    <row r="101" spans="1:20" x14ac:dyDescent="0.25">
      <c r="A101" s="10" t="str">
        <f t="shared" si="154"/>
        <v/>
      </c>
      <c r="D101" s="2" t="str" cm="1">
        <f t="array" aca="1" ref="D101" ca="1">IFERROR(_xlfn.XLOOKUP(MIN(E100:INDIRECT($AA$4&amp;A101+1)),E100:INDIRECT($AA$4&amp;A101+1),$E$2:INDIRECT($AA$4&amp;"$2")),"-")</f>
        <v>-</v>
      </c>
      <c r="E101" s="2" t="str">
        <f ca="1">IF(E$1&gt;$Z$4,"-",IF(COUNTIF($D$3:$D101,E$2)=$Z$3,"Full",SUMIFS($C$3:$C101,$D$3:$D101,E$2)))</f>
        <v>Full</v>
      </c>
      <c r="F101" s="2" t="str">
        <f>IF(F$1&gt;$Z$4,"-",IF(COUNTIF($D$3:$D101,F$2)=$Z$3,"Full",SUMIFS($C$3:$C101,$D$3:$D101,F$2)))</f>
        <v>-</v>
      </c>
      <c r="G101" s="2" t="str">
        <f>IF(G$1&gt;$Z$4,"-",IF(COUNTIF($D$3:$D101,G$2)=$Z$3,"Full",SUMIFS($C$3:$C101,$D$3:$D101,G$2)))</f>
        <v>-</v>
      </c>
      <c r="H101" s="2" t="str">
        <f>IF(H$1&gt;$Z$4,"-",IF(COUNTIF($D$3:$D101,H$2)=$Z$3,"Full",SUMIFS($C$3:$C101,$D$3:$D101,H$2)))</f>
        <v>-</v>
      </c>
      <c r="I101" s="2" t="str">
        <f>IF(I$1&gt;$Z$4,"-",IF(COUNTIF($D$3:$D101,I$2)=$Z$3,"Full",SUMIFS($C$3:$C101,$D$3:$D101,I$2)))</f>
        <v>-</v>
      </c>
      <c r="J101" s="2" t="str">
        <f>IF(J$1&gt;$Z$4,"-",IF(COUNTIF($D$3:$D101,J$2)=$Z$3,"Full",SUMIFS($C$3:$C101,$D$3:$D101,J$2)))</f>
        <v>-</v>
      </c>
      <c r="K101" s="2" t="str">
        <f>IF(K$1&gt;$Z$4,"-",IF(COUNTIF($D$3:$D101,K$2)=$Z$3,"Full",SUMIFS($C$3:$C101,$D$3:$D101,K$2)))</f>
        <v>-</v>
      </c>
      <c r="L101" s="2" t="str">
        <f>IF(L$1&gt;$Z$4,"-",IF(COUNTIF($D$3:$D101,L$2)=$Z$3,"Full",SUMIFS($C$3:$C101,$D$3:$D101,L$2)))</f>
        <v>-</v>
      </c>
      <c r="M101" s="2" t="str">
        <f>IF(M$1&gt;$Z$4,"-",IF(COUNTIF($D$3:$D101,M$2)=$Z$3,"Full",SUMIFS($C$3:$C101,$D$3:$D101,M$2)))</f>
        <v>-</v>
      </c>
      <c r="N101" s="2" t="str">
        <f>IF(N$1&gt;$Z$4,"-",IF(COUNTIF($D$3:$D101,N$2)=$Z$3,"Full",SUMIFS($C$3:$C101,$D$3:$D101,N$2)))</f>
        <v>-</v>
      </c>
      <c r="O101" s="2" t="str">
        <f>IF(O$1&gt;$Z$4,"-",IF(COUNTIF($D$3:$D101,O$2)=$Z$3,"Full",SUMIFS($C$3:$C101,$D$3:$D101,O$2)))</f>
        <v>-</v>
      </c>
      <c r="P101" s="2" t="str">
        <f>IF(P$1&gt;$Z$4,"-",IF(COUNTIF($D$3:$D101,P$2)=$Z$3,"Full",SUMIFS($C$3:$C101,$D$3:$D101,P$2)))</f>
        <v>-</v>
      </c>
      <c r="Q101" s="2" t="str">
        <f>IF(Q$1&gt;$Z$4,"-",IF(COUNTIF($D$3:$D101,Q$2)=$Z$3,"Full",SUMIFS($C$3:$C101,$D$3:$D101,Q$2)))</f>
        <v>-</v>
      </c>
      <c r="R101" s="2" t="str">
        <f>IF(R$1&gt;$Z$4,"-",IF(COUNTIF($D$3:$D101,R$2)=$Z$3,"Full",SUMIFS($C$3:$C101,$D$3:$D101,R$2)))</f>
        <v>-</v>
      </c>
      <c r="S101" s="2" t="str">
        <f>IF(S$1&gt;$Z$4,"-",IF(COUNTIF($D$3:$D101,S$2)=$Z$3,"Full",SUMIFS($C$3:$C101,$D$3:$D101,S$2)))</f>
        <v>-</v>
      </c>
      <c r="T101" s="11" t="str">
        <f>IF(T$1&gt;$Z$4,"-",IF(COUNTIF($D$3:$D101,T$2)=$Z$3,"Full",SUMIFS($C$3:$C101,$D$3:$D101,T$2)))</f>
        <v>-</v>
      </c>
    </row>
    <row r="102" spans="1:20" x14ac:dyDescent="0.25">
      <c r="A102" s="10" t="str">
        <f t="shared" si="154"/>
        <v/>
      </c>
      <c r="D102" s="2" t="str" cm="1">
        <f t="array" aca="1" ref="D102" ca="1">IFERROR(_xlfn.XLOOKUP(MIN(E101:INDIRECT($AA$4&amp;A102+1)),E101:INDIRECT($AA$4&amp;A102+1),$E$2:INDIRECT($AA$4&amp;"$2")),"-")</f>
        <v>-</v>
      </c>
      <c r="E102" s="2" t="str">
        <f ca="1">IF(E$1&gt;$Z$4,"-",IF(COUNTIF($D$3:$D102,E$2)=$Z$3,"Full",SUMIFS($C$3:$C102,$D$3:$D102,E$2)))</f>
        <v>Full</v>
      </c>
      <c r="F102" s="2" t="str">
        <f>IF(F$1&gt;$Z$4,"-",IF(COUNTIF($D$3:$D102,F$2)=$Z$3,"Full",SUMIFS($C$3:$C102,$D$3:$D102,F$2)))</f>
        <v>-</v>
      </c>
      <c r="G102" s="2" t="str">
        <f>IF(G$1&gt;$Z$4,"-",IF(COUNTIF($D$3:$D102,G$2)=$Z$3,"Full",SUMIFS($C$3:$C102,$D$3:$D102,G$2)))</f>
        <v>-</v>
      </c>
      <c r="H102" s="2" t="str">
        <f>IF(H$1&gt;$Z$4,"-",IF(COUNTIF($D$3:$D102,H$2)=$Z$3,"Full",SUMIFS($C$3:$C102,$D$3:$D102,H$2)))</f>
        <v>-</v>
      </c>
      <c r="I102" s="2" t="str">
        <f>IF(I$1&gt;$Z$4,"-",IF(COUNTIF($D$3:$D102,I$2)=$Z$3,"Full",SUMIFS($C$3:$C102,$D$3:$D102,I$2)))</f>
        <v>-</v>
      </c>
      <c r="J102" s="2" t="str">
        <f>IF(J$1&gt;$Z$4,"-",IF(COUNTIF($D$3:$D102,J$2)=$Z$3,"Full",SUMIFS($C$3:$C102,$D$3:$D102,J$2)))</f>
        <v>-</v>
      </c>
      <c r="K102" s="2" t="str">
        <f>IF(K$1&gt;$Z$4,"-",IF(COUNTIF($D$3:$D102,K$2)=$Z$3,"Full",SUMIFS($C$3:$C102,$D$3:$D102,K$2)))</f>
        <v>-</v>
      </c>
      <c r="L102" s="2" t="str">
        <f>IF(L$1&gt;$Z$4,"-",IF(COUNTIF($D$3:$D102,L$2)=$Z$3,"Full",SUMIFS($C$3:$C102,$D$3:$D102,L$2)))</f>
        <v>-</v>
      </c>
      <c r="M102" s="2" t="str">
        <f>IF(M$1&gt;$Z$4,"-",IF(COUNTIF($D$3:$D102,M$2)=$Z$3,"Full",SUMIFS($C$3:$C102,$D$3:$D102,M$2)))</f>
        <v>-</v>
      </c>
      <c r="N102" s="2" t="str">
        <f>IF(N$1&gt;$Z$4,"-",IF(COUNTIF($D$3:$D102,N$2)=$Z$3,"Full",SUMIFS($C$3:$C102,$D$3:$D102,N$2)))</f>
        <v>-</v>
      </c>
      <c r="O102" s="2" t="str">
        <f>IF(O$1&gt;$Z$4,"-",IF(COUNTIF($D$3:$D102,O$2)=$Z$3,"Full",SUMIFS($C$3:$C102,$D$3:$D102,O$2)))</f>
        <v>-</v>
      </c>
      <c r="P102" s="2" t="str">
        <f>IF(P$1&gt;$Z$4,"-",IF(COUNTIF($D$3:$D102,P$2)=$Z$3,"Full",SUMIFS($C$3:$C102,$D$3:$D102,P$2)))</f>
        <v>-</v>
      </c>
      <c r="Q102" s="2" t="str">
        <f>IF(Q$1&gt;$Z$4,"-",IF(COUNTIF($D$3:$D102,Q$2)=$Z$3,"Full",SUMIFS($C$3:$C102,$D$3:$D102,Q$2)))</f>
        <v>-</v>
      </c>
      <c r="R102" s="2" t="str">
        <f>IF(R$1&gt;$Z$4,"-",IF(COUNTIF($D$3:$D102,R$2)=$Z$3,"Full",SUMIFS($C$3:$C102,$D$3:$D102,R$2)))</f>
        <v>-</v>
      </c>
      <c r="S102" s="2" t="str">
        <f>IF(S$1&gt;$Z$4,"-",IF(COUNTIF($D$3:$D102,S$2)=$Z$3,"Full",SUMIFS($C$3:$C102,$D$3:$D102,S$2)))</f>
        <v>-</v>
      </c>
      <c r="T102" s="11" t="str">
        <f>IF(T$1&gt;$Z$4,"-",IF(COUNTIF($D$3:$D102,T$2)=$Z$3,"Full",SUMIFS($C$3:$C102,$D$3:$D102,T$2)))</f>
        <v>-</v>
      </c>
    </row>
    <row r="103" spans="1:20" x14ac:dyDescent="0.25">
      <c r="A103" s="10" t="str">
        <f t="shared" si="154"/>
        <v/>
      </c>
      <c r="D103" s="2" t="str" cm="1">
        <f t="array" aca="1" ref="D103" ca="1">IFERROR(_xlfn.XLOOKUP(MIN(E102:INDIRECT($AA$4&amp;A103+1)),E102:INDIRECT($AA$4&amp;A103+1),$E$2:INDIRECT($AA$4&amp;"$2")),"-")</f>
        <v>-</v>
      </c>
      <c r="E103" s="2" t="str">
        <f ca="1">IF(E$1&gt;$Z$4,"-",IF(COUNTIF($D$3:$D103,E$2)=$Z$3,"Full",SUMIFS($C$3:$C103,$D$3:$D103,E$2)))</f>
        <v>Full</v>
      </c>
      <c r="F103" s="2" t="str">
        <f>IF(F$1&gt;$Z$4,"-",IF(COUNTIF($D$3:$D103,F$2)=$Z$3,"Full",SUMIFS($C$3:$C103,$D$3:$D103,F$2)))</f>
        <v>-</v>
      </c>
      <c r="G103" s="2" t="str">
        <f>IF(G$1&gt;$Z$4,"-",IF(COUNTIF($D$3:$D103,G$2)=$Z$3,"Full",SUMIFS($C$3:$C103,$D$3:$D103,G$2)))</f>
        <v>-</v>
      </c>
      <c r="H103" s="2" t="str">
        <f>IF(H$1&gt;$Z$4,"-",IF(COUNTIF($D$3:$D103,H$2)=$Z$3,"Full",SUMIFS($C$3:$C103,$D$3:$D103,H$2)))</f>
        <v>-</v>
      </c>
      <c r="I103" s="2" t="str">
        <f>IF(I$1&gt;$Z$4,"-",IF(COUNTIF($D$3:$D103,I$2)=$Z$3,"Full",SUMIFS($C$3:$C103,$D$3:$D103,I$2)))</f>
        <v>-</v>
      </c>
      <c r="J103" s="2" t="str">
        <f>IF(J$1&gt;$Z$4,"-",IF(COUNTIF($D$3:$D103,J$2)=$Z$3,"Full",SUMIFS($C$3:$C103,$D$3:$D103,J$2)))</f>
        <v>-</v>
      </c>
      <c r="K103" s="2" t="str">
        <f>IF(K$1&gt;$Z$4,"-",IF(COUNTIF($D$3:$D103,K$2)=$Z$3,"Full",SUMIFS($C$3:$C103,$D$3:$D103,K$2)))</f>
        <v>-</v>
      </c>
      <c r="L103" s="2" t="str">
        <f>IF(L$1&gt;$Z$4,"-",IF(COUNTIF($D$3:$D103,L$2)=$Z$3,"Full",SUMIFS($C$3:$C103,$D$3:$D103,L$2)))</f>
        <v>-</v>
      </c>
      <c r="M103" s="2" t="str">
        <f>IF(M$1&gt;$Z$4,"-",IF(COUNTIF($D$3:$D103,M$2)=$Z$3,"Full",SUMIFS($C$3:$C103,$D$3:$D103,M$2)))</f>
        <v>-</v>
      </c>
      <c r="N103" s="2" t="str">
        <f>IF(N$1&gt;$Z$4,"-",IF(COUNTIF($D$3:$D103,N$2)=$Z$3,"Full",SUMIFS($C$3:$C103,$D$3:$D103,N$2)))</f>
        <v>-</v>
      </c>
      <c r="O103" s="2" t="str">
        <f>IF(O$1&gt;$Z$4,"-",IF(COUNTIF($D$3:$D103,O$2)=$Z$3,"Full",SUMIFS($C$3:$C103,$D$3:$D103,O$2)))</f>
        <v>-</v>
      </c>
      <c r="P103" s="2" t="str">
        <f>IF(P$1&gt;$Z$4,"-",IF(COUNTIF($D$3:$D103,P$2)=$Z$3,"Full",SUMIFS($C$3:$C103,$D$3:$D103,P$2)))</f>
        <v>-</v>
      </c>
      <c r="Q103" s="2" t="str">
        <f>IF(Q$1&gt;$Z$4,"-",IF(COUNTIF($D$3:$D103,Q$2)=$Z$3,"Full",SUMIFS($C$3:$C103,$D$3:$D103,Q$2)))</f>
        <v>-</v>
      </c>
      <c r="R103" s="2" t="str">
        <f>IF(R$1&gt;$Z$4,"-",IF(COUNTIF($D$3:$D103,R$2)=$Z$3,"Full",SUMIFS($C$3:$C103,$D$3:$D103,R$2)))</f>
        <v>-</v>
      </c>
      <c r="S103" s="2" t="str">
        <f>IF(S$1&gt;$Z$4,"-",IF(COUNTIF($D$3:$D103,S$2)=$Z$3,"Full",SUMIFS($C$3:$C103,$D$3:$D103,S$2)))</f>
        <v>-</v>
      </c>
      <c r="T103" s="11" t="str">
        <f>IF(T$1&gt;$Z$4,"-",IF(COUNTIF($D$3:$D103,T$2)=$Z$3,"Full",SUMIFS($C$3:$C103,$D$3:$D103,T$2)))</f>
        <v>-</v>
      </c>
    </row>
    <row r="104" spans="1:20" x14ac:dyDescent="0.25">
      <c r="A104" s="10" t="str">
        <f t="shared" si="154"/>
        <v/>
      </c>
      <c r="D104" s="2" t="str" cm="1">
        <f t="array" aca="1" ref="D104" ca="1">IFERROR(_xlfn.XLOOKUP(MIN(E103:INDIRECT($AA$4&amp;A104+1)),E103:INDIRECT($AA$4&amp;A104+1),$E$2:INDIRECT($AA$4&amp;"$2")),"-")</f>
        <v>-</v>
      </c>
      <c r="E104" s="2" t="str">
        <f ca="1">IF(E$1&gt;$Z$4,"-",IF(COUNTIF($D$3:$D104,E$2)=$Z$3,"Full",SUMIFS($C$3:$C104,$D$3:$D104,E$2)))</f>
        <v>Full</v>
      </c>
      <c r="F104" s="2" t="str">
        <f>IF(F$1&gt;$Z$4,"-",IF(COUNTIF($D$3:$D104,F$2)=$Z$3,"Full",SUMIFS($C$3:$C104,$D$3:$D104,F$2)))</f>
        <v>-</v>
      </c>
      <c r="G104" s="2" t="str">
        <f>IF(G$1&gt;$Z$4,"-",IF(COUNTIF($D$3:$D104,G$2)=$Z$3,"Full",SUMIFS($C$3:$C104,$D$3:$D104,G$2)))</f>
        <v>-</v>
      </c>
      <c r="H104" s="2" t="str">
        <f>IF(H$1&gt;$Z$4,"-",IF(COUNTIF($D$3:$D104,H$2)=$Z$3,"Full",SUMIFS($C$3:$C104,$D$3:$D104,H$2)))</f>
        <v>-</v>
      </c>
      <c r="I104" s="2" t="str">
        <f>IF(I$1&gt;$Z$4,"-",IF(COUNTIF($D$3:$D104,I$2)=$Z$3,"Full",SUMIFS($C$3:$C104,$D$3:$D104,I$2)))</f>
        <v>-</v>
      </c>
      <c r="J104" s="2" t="str">
        <f>IF(J$1&gt;$Z$4,"-",IF(COUNTIF($D$3:$D104,J$2)=$Z$3,"Full",SUMIFS($C$3:$C104,$D$3:$D104,J$2)))</f>
        <v>-</v>
      </c>
      <c r="K104" s="2" t="str">
        <f>IF(K$1&gt;$Z$4,"-",IF(COUNTIF($D$3:$D104,K$2)=$Z$3,"Full",SUMIFS($C$3:$C104,$D$3:$D104,K$2)))</f>
        <v>-</v>
      </c>
      <c r="L104" s="2" t="str">
        <f>IF(L$1&gt;$Z$4,"-",IF(COUNTIF($D$3:$D104,L$2)=$Z$3,"Full",SUMIFS($C$3:$C104,$D$3:$D104,L$2)))</f>
        <v>-</v>
      </c>
      <c r="M104" s="2" t="str">
        <f>IF(M$1&gt;$Z$4,"-",IF(COUNTIF($D$3:$D104,M$2)=$Z$3,"Full",SUMIFS($C$3:$C104,$D$3:$D104,M$2)))</f>
        <v>-</v>
      </c>
      <c r="N104" s="2" t="str">
        <f>IF(N$1&gt;$Z$4,"-",IF(COUNTIF($D$3:$D104,N$2)=$Z$3,"Full",SUMIFS($C$3:$C104,$D$3:$D104,N$2)))</f>
        <v>-</v>
      </c>
      <c r="O104" s="2" t="str">
        <f>IF(O$1&gt;$Z$4,"-",IF(COUNTIF($D$3:$D104,O$2)=$Z$3,"Full",SUMIFS($C$3:$C104,$D$3:$D104,O$2)))</f>
        <v>-</v>
      </c>
      <c r="P104" s="2" t="str">
        <f>IF(P$1&gt;$Z$4,"-",IF(COUNTIF($D$3:$D104,P$2)=$Z$3,"Full",SUMIFS($C$3:$C104,$D$3:$D104,P$2)))</f>
        <v>-</v>
      </c>
      <c r="Q104" s="2" t="str">
        <f>IF(Q$1&gt;$Z$4,"-",IF(COUNTIF($D$3:$D104,Q$2)=$Z$3,"Full",SUMIFS($C$3:$C104,$D$3:$D104,Q$2)))</f>
        <v>-</v>
      </c>
      <c r="R104" s="2" t="str">
        <f>IF(R$1&gt;$Z$4,"-",IF(COUNTIF($D$3:$D104,R$2)=$Z$3,"Full",SUMIFS($C$3:$C104,$D$3:$D104,R$2)))</f>
        <v>-</v>
      </c>
      <c r="S104" s="2" t="str">
        <f>IF(S$1&gt;$Z$4,"-",IF(COUNTIF($D$3:$D104,S$2)=$Z$3,"Full",SUMIFS($C$3:$C104,$D$3:$D104,S$2)))</f>
        <v>-</v>
      </c>
      <c r="T104" s="11" t="str">
        <f>IF(T$1&gt;$Z$4,"-",IF(COUNTIF($D$3:$D104,T$2)=$Z$3,"Full",SUMIFS($C$3:$C104,$D$3:$D104,T$2)))</f>
        <v>-</v>
      </c>
    </row>
    <row r="105" spans="1:20" x14ac:dyDescent="0.25">
      <c r="A105" s="10" t="str">
        <f t="shared" si="154"/>
        <v/>
      </c>
      <c r="D105" s="2" t="str" cm="1">
        <f t="array" aca="1" ref="D105" ca="1">IFERROR(_xlfn.XLOOKUP(MIN(E104:INDIRECT($AA$4&amp;A105+1)),E104:INDIRECT($AA$4&amp;A105+1),$E$2:INDIRECT($AA$4&amp;"$2")),"-")</f>
        <v>-</v>
      </c>
      <c r="E105" s="2" t="str">
        <f ca="1">IF(E$1&gt;$Z$4,"-",IF(COUNTIF($D$3:$D105,E$2)=$Z$3,"Full",SUMIFS($C$3:$C105,$D$3:$D105,E$2)))</f>
        <v>Full</v>
      </c>
      <c r="F105" s="2" t="str">
        <f>IF(F$1&gt;$Z$4,"-",IF(COUNTIF($D$3:$D105,F$2)=$Z$3,"Full",SUMIFS($C$3:$C105,$D$3:$D105,F$2)))</f>
        <v>-</v>
      </c>
      <c r="G105" s="2" t="str">
        <f>IF(G$1&gt;$Z$4,"-",IF(COUNTIF($D$3:$D105,G$2)=$Z$3,"Full",SUMIFS($C$3:$C105,$D$3:$D105,G$2)))</f>
        <v>-</v>
      </c>
      <c r="H105" s="2" t="str">
        <f>IF(H$1&gt;$Z$4,"-",IF(COUNTIF($D$3:$D105,H$2)=$Z$3,"Full",SUMIFS($C$3:$C105,$D$3:$D105,H$2)))</f>
        <v>-</v>
      </c>
      <c r="I105" s="2" t="str">
        <f>IF(I$1&gt;$Z$4,"-",IF(COUNTIF($D$3:$D105,I$2)=$Z$3,"Full",SUMIFS($C$3:$C105,$D$3:$D105,I$2)))</f>
        <v>-</v>
      </c>
      <c r="J105" s="2" t="str">
        <f>IF(J$1&gt;$Z$4,"-",IF(COUNTIF($D$3:$D105,J$2)=$Z$3,"Full",SUMIFS($C$3:$C105,$D$3:$D105,J$2)))</f>
        <v>-</v>
      </c>
      <c r="K105" s="2" t="str">
        <f>IF(K$1&gt;$Z$4,"-",IF(COUNTIF($D$3:$D105,K$2)=$Z$3,"Full",SUMIFS($C$3:$C105,$D$3:$D105,K$2)))</f>
        <v>-</v>
      </c>
      <c r="L105" s="2" t="str">
        <f>IF(L$1&gt;$Z$4,"-",IF(COUNTIF($D$3:$D105,L$2)=$Z$3,"Full",SUMIFS($C$3:$C105,$D$3:$D105,L$2)))</f>
        <v>-</v>
      </c>
      <c r="M105" s="2" t="str">
        <f>IF(M$1&gt;$Z$4,"-",IF(COUNTIF($D$3:$D105,M$2)=$Z$3,"Full",SUMIFS($C$3:$C105,$D$3:$D105,M$2)))</f>
        <v>-</v>
      </c>
      <c r="N105" s="2" t="str">
        <f>IF(N$1&gt;$Z$4,"-",IF(COUNTIF($D$3:$D105,N$2)=$Z$3,"Full",SUMIFS($C$3:$C105,$D$3:$D105,N$2)))</f>
        <v>-</v>
      </c>
      <c r="O105" s="2" t="str">
        <f>IF(O$1&gt;$Z$4,"-",IF(COUNTIF($D$3:$D105,O$2)=$Z$3,"Full",SUMIFS($C$3:$C105,$D$3:$D105,O$2)))</f>
        <v>-</v>
      </c>
      <c r="P105" s="2" t="str">
        <f>IF(P$1&gt;$Z$4,"-",IF(COUNTIF($D$3:$D105,P$2)=$Z$3,"Full",SUMIFS($C$3:$C105,$D$3:$D105,P$2)))</f>
        <v>-</v>
      </c>
      <c r="Q105" s="2" t="str">
        <f>IF(Q$1&gt;$Z$4,"-",IF(COUNTIF($D$3:$D105,Q$2)=$Z$3,"Full",SUMIFS($C$3:$C105,$D$3:$D105,Q$2)))</f>
        <v>-</v>
      </c>
      <c r="R105" s="2" t="str">
        <f>IF(R$1&gt;$Z$4,"-",IF(COUNTIF($D$3:$D105,R$2)=$Z$3,"Full",SUMIFS($C$3:$C105,$D$3:$D105,R$2)))</f>
        <v>-</v>
      </c>
      <c r="S105" s="2" t="str">
        <f>IF(S$1&gt;$Z$4,"-",IF(COUNTIF($D$3:$D105,S$2)=$Z$3,"Full",SUMIFS($C$3:$C105,$D$3:$D105,S$2)))</f>
        <v>-</v>
      </c>
      <c r="T105" s="11" t="str">
        <f>IF(T$1&gt;$Z$4,"-",IF(COUNTIF($D$3:$D105,T$2)=$Z$3,"Full",SUMIFS($C$3:$C105,$D$3:$D105,T$2)))</f>
        <v>-</v>
      </c>
    </row>
    <row r="106" spans="1:20" x14ac:dyDescent="0.25">
      <c r="A106" s="10" t="str">
        <f t="shared" si="154"/>
        <v/>
      </c>
      <c r="D106" s="2" t="str" cm="1">
        <f t="array" aca="1" ref="D106" ca="1">IFERROR(_xlfn.XLOOKUP(MIN(E105:INDIRECT($AA$4&amp;A106+1)),E105:INDIRECT($AA$4&amp;A106+1),$E$2:INDIRECT($AA$4&amp;"$2")),"-")</f>
        <v>-</v>
      </c>
      <c r="E106" s="2" t="str">
        <f ca="1">IF(E$1&gt;$Z$4,"-",IF(COUNTIF($D$3:$D106,E$2)=$Z$3,"Full",SUMIFS($C$3:$C106,$D$3:$D106,E$2)))</f>
        <v>Full</v>
      </c>
      <c r="F106" s="2" t="str">
        <f>IF(F$1&gt;$Z$4,"-",IF(COUNTIF($D$3:$D106,F$2)=$Z$3,"Full",SUMIFS($C$3:$C106,$D$3:$D106,F$2)))</f>
        <v>-</v>
      </c>
      <c r="G106" s="2" t="str">
        <f>IF(G$1&gt;$Z$4,"-",IF(COUNTIF($D$3:$D106,G$2)=$Z$3,"Full",SUMIFS($C$3:$C106,$D$3:$D106,G$2)))</f>
        <v>-</v>
      </c>
      <c r="H106" s="2" t="str">
        <f>IF(H$1&gt;$Z$4,"-",IF(COUNTIF($D$3:$D106,H$2)=$Z$3,"Full",SUMIFS($C$3:$C106,$D$3:$D106,H$2)))</f>
        <v>-</v>
      </c>
      <c r="I106" s="2" t="str">
        <f>IF(I$1&gt;$Z$4,"-",IF(COUNTIF($D$3:$D106,I$2)=$Z$3,"Full",SUMIFS($C$3:$C106,$D$3:$D106,I$2)))</f>
        <v>-</v>
      </c>
      <c r="J106" s="2" t="str">
        <f>IF(J$1&gt;$Z$4,"-",IF(COUNTIF($D$3:$D106,J$2)=$Z$3,"Full",SUMIFS($C$3:$C106,$D$3:$D106,J$2)))</f>
        <v>-</v>
      </c>
      <c r="K106" s="2" t="str">
        <f>IF(K$1&gt;$Z$4,"-",IF(COUNTIF($D$3:$D106,K$2)=$Z$3,"Full",SUMIFS($C$3:$C106,$D$3:$D106,K$2)))</f>
        <v>-</v>
      </c>
      <c r="L106" s="2" t="str">
        <f>IF(L$1&gt;$Z$4,"-",IF(COUNTIF($D$3:$D106,L$2)=$Z$3,"Full",SUMIFS($C$3:$C106,$D$3:$D106,L$2)))</f>
        <v>-</v>
      </c>
      <c r="M106" s="2" t="str">
        <f>IF(M$1&gt;$Z$4,"-",IF(COUNTIF($D$3:$D106,M$2)=$Z$3,"Full",SUMIFS($C$3:$C106,$D$3:$D106,M$2)))</f>
        <v>-</v>
      </c>
      <c r="N106" s="2" t="str">
        <f>IF(N$1&gt;$Z$4,"-",IF(COUNTIF($D$3:$D106,N$2)=$Z$3,"Full",SUMIFS($C$3:$C106,$D$3:$D106,N$2)))</f>
        <v>-</v>
      </c>
      <c r="O106" s="2" t="str">
        <f>IF(O$1&gt;$Z$4,"-",IF(COUNTIF($D$3:$D106,O$2)=$Z$3,"Full",SUMIFS($C$3:$C106,$D$3:$D106,O$2)))</f>
        <v>-</v>
      </c>
      <c r="P106" s="2" t="str">
        <f>IF(P$1&gt;$Z$4,"-",IF(COUNTIF($D$3:$D106,P$2)=$Z$3,"Full",SUMIFS($C$3:$C106,$D$3:$D106,P$2)))</f>
        <v>-</v>
      </c>
      <c r="Q106" s="2" t="str">
        <f>IF(Q$1&gt;$Z$4,"-",IF(COUNTIF($D$3:$D106,Q$2)=$Z$3,"Full",SUMIFS($C$3:$C106,$D$3:$D106,Q$2)))</f>
        <v>-</v>
      </c>
      <c r="R106" s="2" t="str">
        <f>IF(R$1&gt;$Z$4,"-",IF(COUNTIF($D$3:$D106,R$2)=$Z$3,"Full",SUMIFS($C$3:$C106,$D$3:$D106,R$2)))</f>
        <v>-</v>
      </c>
      <c r="S106" s="2" t="str">
        <f>IF(S$1&gt;$Z$4,"-",IF(COUNTIF($D$3:$D106,S$2)=$Z$3,"Full",SUMIFS($C$3:$C106,$D$3:$D106,S$2)))</f>
        <v>-</v>
      </c>
      <c r="T106" s="11" t="str">
        <f>IF(T$1&gt;$Z$4,"-",IF(COUNTIF($D$3:$D106,T$2)=$Z$3,"Full",SUMIFS($C$3:$C106,$D$3:$D106,T$2)))</f>
        <v>-</v>
      </c>
    </row>
    <row r="107" spans="1:20" x14ac:dyDescent="0.25">
      <c r="A107" s="10" t="str">
        <f t="shared" si="154"/>
        <v/>
      </c>
      <c r="D107" s="2" t="str" cm="1">
        <f t="array" aca="1" ref="D107" ca="1">IFERROR(_xlfn.XLOOKUP(MIN(E106:INDIRECT($AA$4&amp;A107+1)),E106:INDIRECT($AA$4&amp;A107+1),$E$2:INDIRECT($AA$4&amp;"$2")),"-")</f>
        <v>-</v>
      </c>
      <c r="E107" s="2" t="str">
        <f ca="1">IF(E$1&gt;$Z$4,"-",IF(COUNTIF($D$3:$D107,E$2)=$Z$3,"Full",SUMIFS($C$3:$C107,$D$3:$D107,E$2)))</f>
        <v>Full</v>
      </c>
      <c r="F107" s="2" t="str">
        <f>IF(F$1&gt;$Z$4,"-",IF(COUNTIF($D$3:$D107,F$2)=$Z$3,"Full",SUMIFS($C$3:$C107,$D$3:$D107,F$2)))</f>
        <v>-</v>
      </c>
      <c r="G107" s="2" t="str">
        <f>IF(G$1&gt;$Z$4,"-",IF(COUNTIF($D$3:$D107,G$2)=$Z$3,"Full",SUMIFS($C$3:$C107,$D$3:$D107,G$2)))</f>
        <v>-</v>
      </c>
      <c r="H107" s="2" t="str">
        <f>IF(H$1&gt;$Z$4,"-",IF(COUNTIF($D$3:$D107,H$2)=$Z$3,"Full",SUMIFS($C$3:$C107,$D$3:$D107,H$2)))</f>
        <v>-</v>
      </c>
      <c r="I107" s="2" t="str">
        <f>IF(I$1&gt;$Z$4,"-",IF(COUNTIF($D$3:$D107,I$2)=$Z$3,"Full",SUMIFS($C$3:$C107,$D$3:$D107,I$2)))</f>
        <v>-</v>
      </c>
      <c r="J107" s="2" t="str">
        <f>IF(J$1&gt;$Z$4,"-",IF(COUNTIF($D$3:$D107,J$2)=$Z$3,"Full",SUMIFS($C$3:$C107,$D$3:$D107,J$2)))</f>
        <v>-</v>
      </c>
      <c r="K107" s="2" t="str">
        <f>IF(K$1&gt;$Z$4,"-",IF(COUNTIF($D$3:$D107,K$2)=$Z$3,"Full",SUMIFS($C$3:$C107,$D$3:$D107,K$2)))</f>
        <v>-</v>
      </c>
      <c r="L107" s="2" t="str">
        <f>IF(L$1&gt;$Z$4,"-",IF(COUNTIF($D$3:$D107,L$2)=$Z$3,"Full",SUMIFS($C$3:$C107,$D$3:$D107,L$2)))</f>
        <v>-</v>
      </c>
      <c r="M107" s="2" t="str">
        <f>IF(M$1&gt;$Z$4,"-",IF(COUNTIF($D$3:$D107,M$2)=$Z$3,"Full",SUMIFS($C$3:$C107,$D$3:$D107,M$2)))</f>
        <v>-</v>
      </c>
      <c r="N107" s="2" t="str">
        <f>IF(N$1&gt;$Z$4,"-",IF(COUNTIF($D$3:$D107,N$2)=$Z$3,"Full",SUMIFS($C$3:$C107,$D$3:$D107,N$2)))</f>
        <v>-</v>
      </c>
      <c r="O107" s="2" t="str">
        <f>IF(O$1&gt;$Z$4,"-",IF(COUNTIF($D$3:$D107,O$2)=$Z$3,"Full",SUMIFS($C$3:$C107,$D$3:$D107,O$2)))</f>
        <v>-</v>
      </c>
      <c r="P107" s="2" t="str">
        <f>IF(P$1&gt;$Z$4,"-",IF(COUNTIF($D$3:$D107,P$2)=$Z$3,"Full",SUMIFS($C$3:$C107,$D$3:$D107,P$2)))</f>
        <v>-</v>
      </c>
      <c r="Q107" s="2" t="str">
        <f>IF(Q$1&gt;$Z$4,"-",IF(COUNTIF($D$3:$D107,Q$2)=$Z$3,"Full",SUMIFS($C$3:$C107,$D$3:$D107,Q$2)))</f>
        <v>-</v>
      </c>
      <c r="R107" s="2" t="str">
        <f>IF(R$1&gt;$Z$4,"-",IF(COUNTIF($D$3:$D107,R$2)=$Z$3,"Full",SUMIFS($C$3:$C107,$D$3:$D107,R$2)))</f>
        <v>-</v>
      </c>
      <c r="S107" s="2" t="str">
        <f>IF(S$1&gt;$Z$4,"-",IF(COUNTIF($D$3:$D107,S$2)=$Z$3,"Full",SUMIFS($C$3:$C107,$D$3:$D107,S$2)))</f>
        <v>-</v>
      </c>
      <c r="T107" s="11" t="str">
        <f>IF(T$1&gt;$Z$4,"-",IF(COUNTIF($D$3:$D107,T$2)=$Z$3,"Full",SUMIFS($C$3:$C107,$D$3:$D107,T$2)))</f>
        <v>-</v>
      </c>
    </row>
    <row r="108" spans="1:20" x14ac:dyDescent="0.25">
      <c r="A108" s="10" t="str">
        <f t="shared" si="154"/>
        <v/>
      </c>
      <c r="D108" s="2" t="str" cm="1">
        <f t="array" aca="1" ref="D108" ca="1">IFERROR(_xlfn.XLOOKUP(MIN(E107:INDIRECT($AA$4&amp;A108+1)),E107:INDIRECT($AA$4&amp;A108+1),$E$2:INDIRECT($AA$4&amp;"$2")),"-")</f>
        <v>-</v>
      </c>
      <c r="E108" s="2" t="str">
        <f ca="1">IF(E$1&gt;$Z$4,"-",IF(COUNTIF($D$3:$D108,E$2)=$Z$3,"Full",SUMIFS($C$3:$C108,$D$3:$D108,E$2)))</f>
        <v>Full</v>
      </c>
      <c r="F108" s="2" t="str">
        <f>IF(F$1&gt;$Z$4,"-",IF(COUNTIF($D$3:$D108,F$2)=$Z$3,"Full",SUMIFS($C$3:$C108,$D$3:$D108,F$2)))</f>
        <v>-</v>
      </c>
      <c r="G108" s="2" t="str">
        <f>IF(G$1&gt;$Z$4,"-",IF(COUNTIF($D$3:$D108,G$2)=$Z$3,"Full",SUMIFS($C$3:$C108,$D$3:$D108,G$2)))</f>
        <v>-</v>
      </c>
      <c r="H108" s="2" t="str">
        <f>IF(H$1&gt;$Z$4,"-",IF(COUNTIF($D$3:$D108,H$2)=$Z$3,"Full",SUMIFS($C$3:$C108,$D$3:$D108,H$2)))</f>
        <v>-</v>
      </c>
      <c r="I108" s="2" t="str">
        <f>IF(I$1&gt;$Z$4,"-",IF(COUNTIF($D$3:$D108,I$2)=$Z$3,"Full",SUMIFS($C$3:$C108,$D$3:$D108,I$2)))</f>
        <v>-</v>
      </c>
      <c r="J108" s="2" t="str">
        <f>IF(J$1&gt;$Z$4,"-",IF(COUNTIF($D$3:$D108,J$2)=$Z$3,"Full",SUMIFS($C$3:$C108,$D$3:$D108,J$2)))</f>
        <v>-</v>
      </c>
      <c r="K108" s="2" t="str">
        <f>IF(K$1&gt;$Z$4,"-",IF(COUNTIF($D$3:$D108,K$2)=$Z$3,"Full",SUMIFS($C$3:$C108,$D$3:$D108,K$2)))</f>
        <v>-</v>
      </c>
      <c r="L108" s="2" t="str">
        <f>IF(L$1&gt;$Z$4,"-",IF(COUNTIF($D$3:$D108,L$2)=$Z$3,"Full",SUMIFS($C$3:$C108,$D$3:$D108,L$2)))</f>
        <v>-</v>
      </c>
      <c r="M108" s="2" t="str">
        <f>IF(M$1&gt;$Z$4,"-",IF(COUNTIF($D$3:$D108,M$2)=$Z$3,"Full",SUMIFS($C$3:$C108,$D$3:$D108,M$2)))</f>
        <v>-</v>
      </c>
      <c r="N108" s="2" t="str">
        <f>IF(N$1&gt;$Z$4,"-",IF(COUNTIF($D$3:$D108,N$2)=$Z$3,"Full",SUMIFS($C$3:$C108,$D$3:$D108,N$2)))</f>
        <v>-</v>
      </c>
      <c r="O108" s="2" t="str">
        <f>IF(O$1&gt;$Z$4,"-",IF(COUNTIF($D$3:$D108,O$2)=$Z$3,"Full",SUMIFS($C$3:$C108,$D$3:$D108,O$2)))</f>
        <v>-</v>
      </c>
      <c r="P108" s="2" t="str">
        <f>IF(P$1&gt;$Z$4,"-",IF(COUNTIF($D$3:$D108,P$2)=$Z$3,"Full",SUMIFS($C$3:$C108,$D$3:$D108,P$2)))</f>
        <v>-</v>
      </c>
      <c r="Q108" s="2" t="str">
        <f>IF(Q$1&gt;$Z$4,"-",IF(COUNTIF($D$3:$D108,Q$2)=$Z$3,"Full",SUMIFS($C$3:$C108,$D$3:$D108,Q$2)))</f>
        <v>-</v>
      </c>
      <c r="R108" s="2" t="str">
        <f>IF(R$1&gt;$Z$4,"-",IF(COUNTIF($D$3:$D108,R$2)=$Z$3,"Full",SUMIFS($C$3:$C108,$D$3:$D108,R$2)))</f>
        <v>-</v>
      </c>
      <c r="S108" s="2" t="str">
        <f>IF(S$1&gt;$Z$4,"-",IF(COUNTIF($D$3:$D108,S$2)=$Z$3,"Full",SUMIFS($C$3:$C108,$D$3:$D108,S$2)))</f>
        <v>-</v>
      </c>
      <c r="T108" s="11" t="str">
        <f>IF(T$1&gt;$Z$4,"-",IF(COUNTIF($D$3:$D108,T$2)=$Z$3,"Full",SUMIFS($C$3:$C108,$D$3:$D108,T$2)))</f>
        <v>-</v>
      </c>
    </row>
    <row r="109" spans="1:20" x14ac:dyDescent="0.25">
      <c r="A109" s="10" t="str">
        <f t="shared" si="154"/>
        <v/>
      </c>
      <c r="D109" s="2" t="str" cm="1">
        <f t="array" aca="1" ref="D109" ca="1">IFERROR(_xlfn.XLOOKUP(MIN(E108:INDIRECT($AA$4&amp;A109+1)),E108:INDIRECT($AA$4&amp;A109+1),$E$2:INDIRECT($AA$4&amp;"$2")),"-")</f>
        <v>-</v>
      </c>
      <c r="E109" s="2" t="str">
        <f ca="1">IF(E$1&gt;$Z$4,"-",IF(COUNTIF($D$3:$D109,E$2)=$Z$3,"Full",SUMIFS($C$3:$C109,$D$3:$D109,E$2)))</f>
        <v>Full</v>
      </c>
      <c r="F109" s="2" t="str">
        <f>IF(F$1&gt;$Z$4,"-",IF(COUNTIF($D$3:$D109,F$2)=$Z$3,"Full",SUMIFS($C$3:$C109,$D$3:$D109,F$2)))</f>
        <v>-</v>
      </c>
      <c r="G109" s="2" t="str">
        <f>IF(G$1&gt;$Z$4,"-",IF(COUNTIF($D$3:$D109,G$2)=$Z$3,"Full",SUMIFS($C$3:$C109,$D$3:$D109,G$2)))</f>
        <v>-</v>
      </c>
      <c r="H109" s="2" t="str">
        <f>IF(H$1&gt;$Z$4,"-",IF(COUNTIF($D$3:$D109,H$2)=$Z$3,"Full",SUMIFS($C$3:$C109,$D$3:$D109,H$2)))</f>
        <v>-</v>
      </c>
      <c r="I109" s="2" t="str">
        <f>IF(I$1&gt;$Z$4,"-",IF(COUNTIF($D$3:$D109,I$2)=$Z$3,"Full",SUMIFS($C$3:$C109,$D$3:$D109,I$2)))</f>
        <v>-</v>
      </c>
      <c r="J109" s="2" t="str">
        <f>IF(J$1&gt;$Z$4,"-",IF(COUNTIF($D$3:$D109,J$2)=$Z$3,"Full",SUMIFS($C$3:$C109,$D$3:$D109,J$2)))</f>
        <v>-</v>
      </c>
      <c r="K109" s="2" t="str">
        <f>IF(K$1&gt;$Z$4,"-",IF(COUNTIF($D$3:$D109,K$2)=$Z$3,"Full",SUMIFS($C$3:$C109,$D$3:$D109,K$2)))</f>
        <v>-</v>
      </c>
      <c r="L109" s="2" t="str">
        <f>IF(L$1&gt;$Z$4,"-",IF(COUNTIF($D$3:$D109,L$2)=$Z$3,"Full",SUMIFS($C$3:$C109,$D$3:$D109,L$2)))</f>
        <v>-</v>
      </c>
      <c r="M109" s="2" t="str">
        <f>IF(M$1&gt;$Z$4,"-",IF(COUNTIF($D$3:$D109,M$2)=$Z$3,"Full",SUMIFS($C$3:$C109,$D$3:$D109,M$2)))</f>
        <v>-</v>
      </c>
      <c r="N109" s="2" t="str">
        <f>IF(N$1&gt;$Z$4,"-",IF(COUNTIF($D$3:$D109,N$2)=$Z$3,"Full",SUMIFS($C$3:$C109,$D$3:$D109,N$2)))</f>
        <v>-</v>
      </c>
      <c r="O109" s="2" t="str">
        <f>IF(O$1&gt;$Z$4,"-",IF(COUNTIF($D$3:$D109,O$2)=$Z$3,"Full",SUMIFS($C$3:$C109,$D$3:$D109,O$2)))</f>
        <v>-</v>
      </c>
      <c r="P109" s="2" t="str">
        <f>IF(P$1&gt;$Z$4,"-",IF(COUNTIF($D$3:$D109,P$2)=$Z$3,"Full",SUMIFS($C$3:$C109,$D$3:$D109,P$2)))</f>
        <v>-</v>
      </c>
      <c r="Q109" s="2" t="str">
        <f>IF(Q$1&gt;$Z$4,"-",IF(COUNTIF($D$3:$D109,Q$2)=$Z$3,"Full",SUMIFS($C$3:$C109,$D$3:$D109,Q$2)))</f>
        <v>-</v>
      </c>
      <c r="R109" s="2" t="str">
        <f>IF(R$1&gt;$Z$4,"-",IF(COUNTIF($D$3:$D109,R$2)=$Z$3,"Full",SUMIFS($C$3:$C109,$D$3:$D109,R$2)))</f>
        <v>-</v>
      </c>
      <c r="S109" s="2" t="str">
        <f>IF(S$1&gt;$Z$4,"-",IF(COUNTIF($D$3:$D109,S$2)=$Z$3,"Full",SUMIFS($C$3:$C109,$D$3:$D109,S$2)))</f>
        <v>-</v>
      </c>
      <c r="T109" s="11" t="str">
        <f>IF(T$1&gt;$Z$4,"-",IF(COUNTIF($D$3:$D109,T$2)=$Z$3,"Full",SUMIFS($C$3:$C109,$D$3:$D109,T$2)))</f>
        <v>-</v>
      </c>
    </row>
    <row r="110" spans="1:20" x14ac:dyDescent="0.25">
      <c r="A110" s="10" t="str">
        <f t="shared" si="154"/>
        <v/>
      </c>
      <c r="D110" s="2" t="str" cm="1">
        <f t="array" aca="1" ref="D110" ca="1">IFERROR(_xlfn.XLOOKUP(MIN(E109:INDIRECT($AA$4&amp;A110+1)),E109:INDIRECT($AA$4&amp;A110+1),$E$2:INDIRECT($AA$4&amp;"$2")),"-")</f>
        <v>-</v>
      </c>
      <c r="E110" s="2" t="str">
        <f ca="1">IF(E$1&gt;$Z$4,"-",IF(COUNTIF($D$3:$D110,E$2)=$Z$3,"Full",SUMIFS($C$3:$C110,$D$3:$D110,E$2)))</f>
        <v>Full</v>
      </c>
      <c r="F110" s="2" t="str">
        <f>IF(F$1&gt;$Z$4,"-",IF(COUNTIF($D$3:$D110,F$2)=$Z$3,"Full",SUMIFS($C$3:$C110,$D$3:$D110,F$2)))</f>
        <v>-</v>
      </c>
      <c r="G110" s="2" t="str">
        <f>IF(G$1&gt;$Z$4,"-",IF(COUNTIF($D$3:$D110,G$2)=$Z$3,"Full",SUMIFS($C$3:$C110,$D$3:$D110,G$2)))</f>
        <v>-</v>
      </c>
      <c r="H110" s="2" t="str">
        <f>IF(H$1&gt;$Z$4,"-",IF(COUNTIF($D$3:$D110,H$2)=$Z$3,"Full",SUMIFS($C$3:$C110,$D$3:$D110,H$2)))</f>
        <v>-</v>
      </c>
      <c r="I110" s="2" t="str">
        <f>IF(I$1&gt;$Z$4,"-",IF(COUNTIF($D$3:$D110,I$2)=$Z$3,"Full",SUMIFS($C$3:$C110,$D$3:$D110,I$2)))</f>
        <v>-</v>
      </c>
      <c r="J110" s="2" t="str">
        <f>IF(J$1&gt;$Z$4,"-",IF(COUNTIF($D$3:$D110,J$2)=$Z$3,"Full",SUMIFS($C$3:$C110,$D$3:$D110,J$2)))</f>
        <v>-</v>
      </c>
      <c r="K110" s="2" t="str">
        <f>IF(K$1&gt;$Z$4,"-",IF(COUNTIF($D$3:$D110,K$2)=$Z$3,"Full",SUMIFS($C$3:$C110,$D$3:$D110,K$2)))</f>
        <v>-</v>
      </c>
      <c r="L110" s="2" t="str">
        <f>IF(L$1&gt;$Z$4,"-",IF(COUNTIF($D$3:$D110,L$2)=$Z$3,"Full",SUMIFS($C$3:$C110,$D$3:$D110,L$2)))</f>
        <v>-</v>
      </c>
      <c r="M110" s="2" t="str">
        <f>IF(M$1&gt;$Z$4,"-",IF(COUNTIF($D$3:$D110,M$2)=$Z$3,"Full",SUMIFS($C$3:$C110,$D$3:$D110,M$2)))</f>
        <v>-</v>
      </c>
      <c r="N110" s="2" t="str">
        <f>IF(N$1&gt;$Z$4,"-",IF(COUNTIF($D$3:$D110,N$2)=$Z$3,"Full",SUMIFS($C$3:$C110,$D$3:$D110,N$2)))</f>
        <v>-</v>
      </c>
      <c r="O110" s="2" t="str">
        <f>IF(O$1&gt;$Z$4,"-",IF(COUNTIF($D$3:$D110,O$2)=$Z$3,"Full",SUMIFS($C$3:$C110,$D$3:$D110,O$2)))</f>
        <v>-</v>
      </c>
      <c r="P110" s="2" t="str">
        <f>IF(P$1&gt;$Z$4,"-",IF(COUNTIF($D$3:$D110,P$2)=$Z$3,"Full",SUMIFS($C$3:$C110,$D$3:$D110,P$2)))</f>
        <v>-</v>
      </c>
      <c r="Q110" s="2" t="str">
        <f>IF(Q$1&gt;$Z$4,"-",IF(COUNTIF($D$3:$D110,Q$2)=$Z$3,"Full",SUMIFS($C$3:$C110,$D$3:$D110,Q$2)))</f>
        <v>-</v>
      </c>
      <c r="R110" s="2" t="str">
        <f>IF(R$1&gt;$Z$4,"-",IF(COUNTIF($D$3:$D110,R$2)=$Z$3,"Full",SUMIFS($C$3:$C110,$D$3:$D110,R$2)))</f>
        <v>-</v>
      </c>
      <c r="S110" s="2" t="str">
        <f>IF(S$1&gt;$Z$4,"-",IF(COUNTIF($D$3:$D110,S$2)=$Z$3,"Full",SUMIFS($C$3:$C110,$D$3:$D110,S$2)))</f>
        <v>-</v>
      </c>
      <c r="T110" s="11" t="str">
        <f>IF(T$1&gt;$Z$4,"-",IF(COUNTIF($D$3:$D110,T$2)=$Z$3,"Full",SUMIFS($C$3:$C110,$D$3:$D110,T$2)))</f>
        <v>-</v>
      </c>
    </row>
    <row r="111" spans="1:20" x14ac:dyDescent="0.25">
      <c r="A111" s="10" t="str">
        <f t="shared" si="154"/>
        <v/>
      </c>
      <c r="D111" s="2" t="str" cm="1">
        <f t="array" aca="1" ref="D111" ca="1">IFERROR(_xlfn.XLOOKUP(MIN(E110:INDIRECT($AA$4&amp;A111+1)),E110:INDIRECT($AA$4&amp;A111+1),$E$2:INDIRECT($AA$4&amp;"$2")),"-")</f>
        <v>-</v>
      </c>
      <c r="E111" s="2" t="str">
        <f ca="1">IF(E$1&gt;$Z$4,"-",IF(COUNTIF($D$3:$D111,E$2)=$Z$3,"Full",SUMIFS($C$3:$C111,$D$3:$D111,E$2)))</f>
        <v>Full</v>
      </c>
      <c r="F111" s="2" t="str">
        <f>IF(F$1&gt;$Z$4,"-",IF(COUNTIF($D$3:$D111,F$2)=$Z$3,"Full",SUMIFS($C$3:$C111,$D$3:$D111,F$2)))</f>
        <v>-</v>
      </c>
      <c r="G111" s="2" t="str">
        <f>IF(G$1&gt;$Z$4,"-",IF(COUNTIF($D$3:$D111,G$2)=$Z$3,"Full",SUMIFS($C$3:$C111,$D$3:$D111,G$2)))</f>
        <v>-</v>
      </c>
      <c r="H111" s="2" t="str">
        <f>IF(H$1&gt;$Z$4,"-",IF(COUNTIF($D$3:$D111,H$2)=$Z$3,"Full",SUMIFS($C$3:$C111,$D$3:$D111,H$2)))</f>
        <v>-</v>
      </c>
      <c r="I111" s="2" t="str">
        <f>IF(I$1&gt;$Z$4,"-",IF(COUNTIF($D$3:$D111,I$2)=$Z$3,"Full",SUMIFS($C$3:$C111,$D$3:$D111,I$2)))</f>
        <v>-</v>
      </c>
      <c r="J111" s="2" t="str">
        <f>IF(J$1&gt;$Z$4,"-",IF(COUNTIF($D$3:$D111,J$2)=$Z$3,"Full",SUMIFS($C$3:$C111,$D$3:$D111,J$2)))</f>
        <v>-</v>
      </c>
      <c r="K111" s="2" t="str">
        <f>IF(K$1&gt;$Z$4,"-",IF(COUNTIF($D$3:$D111,K$2)=$Z$3,"Full",SUMIFS($C$3:$C111,$D$3:$D111,K$2)))</f>
        <v>-</v>
      </c>
      <c r="L111" s="2" t="str">
        <f>IF(L$1&gt;$Z$4,"-",IF(COUNTIF($D$3:$D111,L$2)=$Z$3,"Full",SUMIFS($C$3:$C111,$D$3:$D111,L$2)))</f>
        <v>-</v>
      </c>
      <c r="M111" s="2" t="str">
        <f>IF(M$1&gt;$Z$4,"-",IF(COUNTIF($D$3:$D111,M$2)=$Z$3,"Full",SUMIFS($C$3:$C111,$D$3:$D111,M$2)))</f>
        <v>-</v>
      </c>
      <c r="N111" s="2" t="str">
        <f>IF(N$1&gt;$Z$4,"-",IF(COUNTIF($D$3:$D111,N$2)=$Z$3,"Full",SUMIFS($C$3:$C111,$D$3:$D111,N$2)))</f>
        <v>-</v>
      </c>
      <c r="O111" s="2" t="str">
        <f>IF(O$1&gt;$Z$4,"-",IF(COUNTIF($D$3:$D111,O$2)=$Z$3,"Full",SUMIFS($C$3:$C111,$D$3:$D111,O$2)))</f>
        <v>-</v>
      </c>
      <c r="P111" s="2" t="str">
        <f>IF(P$1&gt;$Z$4,"-",IF(COUNTIF($D$3:$D111,P$2)=$Z$3,"Full",SUMIFS($C$3:$C111,$D$3:$D111,P$2)))</f>
        <v>-</v>
      </c>
      <c r="Q111" s="2" t="str">
        <f>IF(Q$1&gt;$Z$4,"-",IF(COUNTIF($D$3:$D111,Q$2)=$Z$3,"Full",SUMIFS($C$3:$C111,$D$3:$D111,Q$2)))</f>
        <v>-</v>
      </c>
      <c r="R111" s="2" t="str">
        <f>IF(R$1&gt;$Z$4,"-",IF(COUNTIF($D$3:$D111,R$2)=$Z$3,"Full",SUMIFS($C$3:$C111,$D$3:$D111,R$2)))</f>
        <v>-</v>
      </c>
      <c r="S111" s="2" t="str">
        <f>IF(S$1&gt;$Z$4,"-",IF(COUNTIF($D$3:$D111,S$2)=$Z$3,"Full",SUMIFS($C$3:$C111,$D$3:$D111,S$2)))</f>
        <v>-</v>
      </c>
      <c r="T111" s="11" t="str">
        <f>IF(T$1&gt;$Z$4,"-",IF(COUNTIF($D$3:$D111,T$2)=$Z$3,"Full",SUMIFS($C$3:$C111,$D$3:$D111,T$2)))</f>
        <v>-</v>
      </c>
    </row>
    <row r="112" spans="1:20" x14ac:dyDescent="0.25">
      <c r="A112" s="10" t="str">
        <f t="shared" si="154"/>
        <v/>
      </c>
      <c r="D112" s="2" t="str" cm="1">
        <f t="array" aca="1" ref="D112" ca="1">IFERROR(_xlfn.XLOOKUP(MIN(E111:INDIRECT($AA$4&amp;A112+1)),E111:INDIRECT($AA$4&amp;A112+1),$E$2:INDIRECT($AA$4&amp;"$2")),"-")</f>
        <v>-</v>
      </c>
      <c r="E112" s="2" t="str">
        <f ca="1">IF(E$1&gt;$Z$4,"-",IF(COUNTIF($D$3:$D112,E$2)=$Z$3,"Full",SUMIFS($C$3:$C112,$D$3:$D112,E$2)))</f>
        <v>Full</v>
      </c>
      <c r="F112" s="2" t="str">
        <f>IF(F$1&gt;$Z$4,"-",IF(COUNTIF($D$3:$D112,F$2)=$Z$3,"Full",SUMIFS($C$3:$C112,$D$3:$D112,F$2)))</f>
        <v>-</v>
      </c>
      <c r="G112" s="2" t="str">
        <f>IF(G$1&gt;$Z$4,"-",IF(COUNTIF($D$3:$D112,G$2)=$Z$3,"Full",SUMIFS($C$3:$C112,$D$3:$D112,G$2)))</f>
        <v>-</v>
      </c>
      <c r="H112" s="2" t="str">
        <f>IF(H$1&gt;$Z$4,"-",IF(COUNTIF($D$3:$D112,H$2)=$Z$3,"Full",SUMIFS($C$3:$C112,$D$3:$D112,H$2)))</f>
        <v>-</v>
      </c>
      <c r="I112" s="2" t="str">
        <f>IF(I$1&gt;$Z$4,"-",IF(COUNTIF($D$3:$D112,I$2)=$Z$3,"Full",SUMIFS($C$3:$C112,$D$3:$D112,I$2)))</f>
        <v>-</v>
      </c>
      <c r="J112" s="2" t="str">
        <f>IF(J$1&gt;$Z$4,"-",IF(COUNTIF($D$3:$D112,J$2)=$Z$3,"Full",SUMIFS($C$3:$C112,$D$3:$D112,J$2)))</f>
        <v>-</v>
      </c>
      <c r="K112" s="2" t="str">
        <f>IF(K$1&gt;$Z$4,"-",IF(COUNTIF($D$3:$D112,K$2)=$Z$3,"Full",SUMIFS($C$3:$C112,$D$3:$D112,K$2)))</f>
        <v>-</v>
      </c>
      <c r="L112" s="2" t="str">
        <f>IF(L$1&gt;$Z$4,"-",IF(COUNTIF($D$3:$D112,L$2)=$Z$3,"Full",SUMIFS($C$3:$C112,$D$3:$D112,L$2)))</f>
        <v>-</v>
      </c>
      <c r="M112" s="2" t="str">
        <f>IF(M$1&gt;$Z$4,"-",IF(COUNTIF($D$3:$D112,M$2)=$Z$3,"Full",SUMIFS($C$3:$C112,$D$3:$D112,M$2)))</f>
        <v>-</v>
      </c>
      <c r="N112" s="2" t="str">
        <f>IF(N$1&gt;$Z$4,"-",IF(COUNTIF($D$3:$D112,N$2)=$Z$3,"Full",SUMIFS($C$3:$C112,$D$3:$D112,N$2)))</f>
        <v>-</v>
      </c>
      <c r="O112" s="2" t="str">
        <f>IF(O$1&gt;$Z$4,"-",IF(COUNTIF($D$3:$D112,O$2)=$Z$3,"Full",SUMIFS($C$3:$C112,$D$3:$D112,O$2)))</f>
        <v>-</v>
      </c>
      <c r="P112" s="2" t="str">
        <f>IF(P$1&gt;$Z$4,"-",IF(COUNTIF($D$3:$D112,P$2)=$Z$3,"Full",SUMIFS($C$3:$C112,$D$3:$D112,P$2)))</f>
        <v>-</v>
      </c>
      <c r="Q112" s="2" t="str">
        <f>IF(Q$1&gt;$Z$4,"-",IF(COUNTIF($D$3:$D112,Q$2)=$Z$3,"Full",SUMIFS($C$3:$C112,$D$3:$D112,Q$2)))</f>
        <v>-</v>
      </c>
      <c r="R112" s="2" t="str">
        <f>IF(R$1&gt;$Z$4,"-",IF(COUNTIF($D$3:$D112,R$2)=$Z$3,"Full",SUMIFS($C$3:$C112,$D$3:$D112,R$2)))</f>
        <v>-</v>
      </c>
      <c r="S112" s="2" t="str">
        <f>IF(S$1&gt;$Z$4,"-",IF(COUNTIF($D$3:$D112,S$2)=$Z$3,"Full",SUMIFS($C$3:$C112,$D$3:$D112,S$2)))</f>
        <v>-</v>
      </c>
      <c r="T112" s="11" t="str">
        <f>IF(T$1&gt;$Z$4,"-",IF(COUNTIF($D$3:$D112,T$2)=$Z$3,"Full",SUMIFS($C$3:$C112,$D$3:$D112,T$2)))</f>
        <v>-</v>
      </c>
    </row>
    <row r="113" spans="1:20" x14ac:dyDescent="0.25">
      <c r="A113" s="10" t="str">
        <f t="shared" si="154"/>
        <v/>
      </c>
      <c r="D113" s="2" t="str" cm="1">
        <f t="array" aca="1" ref="D113" ca="1">IFERROR(_xlfn.XLOOKUP(MIN(E112:INDIRECT($AA$4&amp;A113+1)),E112:INDIRECT($AA$4&amp;A113+1),$E$2:INDIRECT($AA$4&amp;"$2")),"-")</f>
        <v>-</v>
      </c>
      <c r="E113" s="2" t="str">
        <f ca="1">IF(E$1&gt;$Z$4,"-",IF(COUNTIF($D$3:$D113,E$2)=$Z$3,"Full",SUMIFS($C$3:$C113,$D$3:$D113,E$2)))</f>
        <v>Full</v>
      </c>
      <c r="F113" s="2" t="str">
        <f>IF(F$1&gt;$Z$4,"-",IF(COUNTIF($D$3:$D113,F$2)=$Z$3,"Full",SUMIFS($C$3:$C113,$D$3:$D113,F$2)))</f>
        <v>-</v>
      </c>
      <c r="G113" s="2" t="str">
        <f>IF(G$1&gt;$Z$4,"-",IF(COUNTIF($D$3:$D113,G$2)=$Z$3,"Full",SUMIFS($C$3:$C113,$D$3:$D113,G$2)))</f>
        <v>-</v>
      </c>
      <c r="H113" s="2" t="str">
        <f>IF(H$1&gt;$Z$4,"-",IF(COUNTIF($D$3:$D113,H$2)=$Z$3,"Full",SUMIFS($C$3:$C113,$D$3:$D113,H$2)))</f>
        <v>-</v>
      </c>
      <c r="I113" s="2" t="str">
        <f>IF(I$1&gt;$Z$4,"-",IF(COUNTIF($D$3:$D113,I$2)=$Z$3,"Full",SUMIFS($C$3:$C113,$D$3:$D113,I$2)))</f>
        <v>-</v>
      </c>
      <c r="J113" s="2" t="str">
        <f>IF(J$1&gt;$Z$4,"-",IF(COUNTIF($D$3:$D113,J$2)=$Z$3,"Full",SUMIFS($C$3:$C113,$D$3:$D113,J$2)))</f>
        <v>-</v>
      </c>
      <c r="K113" s="2" t="str">
        <f>IF(K$1&gt;$Z$4,"-",IF(COUNTIF($D$3:$D113,K$2)=$Z$3,"Full",SUMIFS($C$3:$C113,$D$3:$D113,K$2)))</f>
        <v>-</v>
      </c>
      <c r="L113" s="2" t="str">
        <f>IF(L$1&gt;$Z$4,"-",IF(COUNTIF($D$3:$D113,L$2)=$Z$3,"Full",SUMIFS($C$3:$C113,$D$3:$D113,L$2)))</f>
        <v>-</v>
      </c>
      <c r="M113" s="2" t="str">
        <f>IF(M$1&gt;$Z$4,"-",IF(COUNTIF($D$3:$D113,M$2)=$Z$3,"Full",SUMIFS($C$3:$C113,$D$3:$D113,M$2)))</f>
        <v>-</v>
      </c>
      <c r="N113" s="2" t="str">
        <f>IF(N$1&gt;$Z$4,"-",IF(COUNTIF($D$3:$D113,N$2)=$Z$3,"Full",SUMIFS($C$3:$C113,$D$3:$D113,N$2)))</f>
        <v>-</v>
      </c>
      <c r="O113" s="2" t="str">
        <f>IF(O$1&gt;$Z$4,"-",IF(COUNTIF($D$3:$D113,O$2)=$Z$3,"Full",SUMIFS($C$3:$C113,$D$3:$D113,O$2)))</f>
        <v>-</v>
      </c>
      <c r="P113" s="2" t="str">
        <f>IF(P$1&gt;$Z$4,"-",IF(COUNTIF($D$3:$D113,P$2)=$Z$3,"Full",SUMIFS($C$3:$C113,$D$3:$D113,P$2)))</f>
        <v>-</v>
      </c>
      <c r="Q113" s="2" t="str">
        <f>IF(Q$1&gt;$Z$4,"-",IF(COUNTIF($D$3:$D113,Q$2)=$Z$3,"Full",SUMIFS($C$3:$C113,$D$3:$D113,Q$2)))</f>
        <v>-</v>
      </c>
      <c r="R113" s="2" t="str">
        <f>IF(R$1&gt;$Z$4,"-",IF(COUNTIF($D$3:$D113,R$2)=$Z$3,"Full",SUMIFS($C$3:$C113,$D$3:$D113,R$2)))</f>
        <v>-</v>
      </c>
      <c r="S113" s="2" t="str">
        <f>IF(S$1&gt;$Z$4,"-",IF(COUNTIF($D$3:$D113,S$2)=$Z$3,"Full",SUMIFS($C$3:$C113,$D$3:$D113,S$2)))</f>
        <v>-</v>
      </c>
      <c r="T113" s="11" t="str">
        <f>IF(T$1&gt;$Z$4,"-",IF(COUNTIF($D$3:$D113,T$2)=$Z$3,"Full",SUMIFS($C$3:$C113,$D$3:$D113,T$2)))</f>
        <v>-</v>
      </c>
    </row>
    <row r="114" spans="1:20" x14ac:dyDescent="0.25">
      <c r="A114" s="10" t="str">
        <f t="shared" si="154"/>
        <v/>
      </c>
      <c r="D114" s="2" t="str" cm="1">
        <f t="array" aca="1" ref="D114" ca="1">IFERROR(_xlfn.XLOOKUP(MIN(E113:INDIRECT($AA$4&amp;A114+1)),E113:INDIRECT($AA$4&amp;A114+1),$E$2:INDIRECT($AA$4&amp;"$2")),"-")</f>
        <v>-</v>
      </c>
      <c r="E114" s="2" t="str">
        <f ca="1">IF(E$1&gt;$Z$4,"-",IF(COUNTIF($D$3:$D114,E$2)=$Z$3,"Full",SUMIFS($C$3:$C114,$D$3:$D114,E$2)))</f>
        <v>Full</v>
      </c>
      <c r="F114" s="2" t="str">
        <f>IF(F$1&gt;$Z$4,"-",IF(COUNTIF($D$3:$D114,F$2)=$Z$3,"Full",SUMIFS($C$3:$C114,$D$3:$D114,F$2)))</f>
        <v>-</v>
      </c>
      <c r="G114" s="2" t="str">
        <f>IF(G$1&gt;$Z$4,"-",IF(COUNTIF($D$3:$D114,G$2)=$Z$3,"Full",SUMIFS($C$3:$C114,$D$3:$D114,G$2)))</f>
        <v>-</v>
      </c>
      <c r="H114" s="2" t="str">
        <f>IF(H$1&gt;$Z$4,"-",IF(COUNTIF($D$3:$D114,H$2)=$Z$3,"Full",SUMIFS($C$3:$C114,$D$3:$D114,H$2)))</f>
        <v>-</v>
      </c>
      <c r="I114" s="2" t="str">
        <f>IF(I$1&gt;$Z$4,"-",IF(COUNTIF($D$3:$D114,I$2)=$Z$3,"Full",SUMIFS($C$3:$C114,$D$3:$D114,I$2)))</f>
        <v>-</v>
      </c>
      <c r="J114" s="2" t="str">
        <f>IF(J$1&gt;$Z$4,"-",IF(COUNTIF($D$3:$D114,J$2)=$Z$3,"Full",SUMIFS($C$3:$C114,$D$3:$D114,J$2)))</f>
        <v>-</v>
      </c>
      <c r="K114" s="2" t="str">
        <f>IF(K$1&gt;$Z$4,"-",IF(COUNTIF($D$3:$D114,K$2)=$Z$3,"Full",SUMIFS($C$3:$C114,$D$3:$D114,K$2)))</f>
        <v>-</v>
      </c>
      <c r="L114" s="2" t="str">
        <f>IF(L$1&gt;$Z$4,"-",IF(COUNTIF($D$3:$D114,L$2)=$Z$3,"Full",SUMIFS($C$3:$C114,$D$3:$D114,L$2)))</f>
        <v>-</v>
      </c>
      <c r="M114" s="2" t="str">
        <f>IF(M$1&gt;$Z$4,"-",IF(COUNTIF($D$3:$D114,M$2)=$Z$3,"Full",SUMIFS($C$3:$C114,$D$3:$D114,M$2)))</f>
        <v>-</v>
      </c>
      <c r="N114" s="2" t="str">
        <f>IF(N$1&gt;$Z$4,"-",IF(COUNTIF($D$3:$D114,N$2)=$Z$3,"Full",SUMIFS($C$3:$C114,$D$3:$D114,N$2)))</f>
        <v>-</v>
      </c>
      <c r="O114" s="2" t="str">
        <f>IF(O$1&gt;$Z$4,"-",IF(COUNTIF($D$3:$D114,O$2)=$Z$3,"Full",SUMIFS($C$3:$C114,$D$3:$D114,O$2)))</f>
        <v>-</v>
      </c>
      <c r="P114" s="2" t="str">
        <f>IF(P$1&gt;$Z$4,"-",IF(COUNTIF($D$3:$D114,P$2)=$Z$3,"Full",SUMIFS($C$3:$C114,$D$3:$D114,P$2)))</f>
        <v>-</v>
      </c>
      <c r="Q114" s="2" t="str">
        <f>IF(Q$1&gt;$Z$4,"-",IF(COUNTIF($D$3:$D114,Q$2)=$Z$3,"Full",SUMIFS($C$3:$C114,$D$3:$D114,Q$2)))</f>
        <v>-</v>
      </c>
      <c r="R114" s="2" t="str">
        <f>IF(R$1&gt;$Z$4,"-",IF(COUNTIF($D$3:$D114,R$2)=$Z$3,"Full",SUMIFS($C$3:$C114,$D$3:$D114,R$2)))</f>
        <v>-</v>
      </c>
      <c r="S114" s="2" t="str">
        <f>IF(S$1&gt;$Z$4,"-",IF(COUNTIF($D$3:$D114,S$2)=$Z$3,"Full",SUMIFS($C$3:$C114,$D$3:$D114,S$2)))</f>
        <v>-</v>
      </c>
      <c r="T114" s="11" t="str">
        <f>IF(T$1&gt;$Z$4,"-",IF(COUNTIF($D$3:$D114,T$2)=$Z$3,"Full",SUMIFS($C$3:$C114,$D$3:$D114,T$2)))</f>
        <v>-</v>
      </c>
    </row>
    <row r="115" spans="1:20" x14ac:dyDescent="0.25">
      <c r="A115" s="10" t="str">
        <f t="shared" si="154"/>
        <v/>
      </c>
      <c r="D115" s="2" t="str" cm="1">
        <f t="array" aca="1" ref="D115" ca="1">IFERROR(_xlfn.XLOOKUP(MIN(E114:INDIRECT($AA$4&amp;A115+1)),E114:INDIRECT($AA$4&amp;A115+1),$E$2:INDIRECT($AA$4&amp;"$2")),"-")</f>
        <v>-</v>
      </c>
      <c r="E115" s="2" t="str">
        <f ca="1">IF(E$1&gt;$Z$4,"-",IF(COUNTIF($D$3:$D115,E$2)=$Z$3,"Full",SUMIFS($C$3:$C115,$D$3:$D115,E$2)))</f>
        <v>Full</v>
      </c>
      <c r="F115" s="2" t="str">
        <f>IF(F$1&gt;$Z$4,"-",IF(COUNTIF($D$3:$D115,F$2)=$Z$3,"Full",SUMIFS($C$3:$C115,$D$3:$D115,F$2)))</f>
        <v>-</v>
      </c>
      <c r="G115" s="2" t="str">
        <f>IF(G$1&gt;$Z$4,"-",IF(COUNTIF($D$3:$D115,G$2)=$Z$3,"Full",SUMIFS($C$3:$C115,$D$3:$D115,G$2)))</f>
        <v>-</v>
      </c>
      <c r="H115" s="2" t="str">
        <f>IF(H$1&gt;$Z$4,"-",IF(COUNTIF($D$3:$D115,H$2)=$Z$3,"Full",SUMIFS($C$3:$C115,$D$3:$D115,H$2)))</f>
        <v>-</v>
      </c>
      <c r="I115" s="2" t="str">
        <f>IF(I$1&gt;$Z$4,"-",IF(COUNTIF($D$3:$D115,I$2)=$Z$3,"Full",SUMIFS($C$3:$C115,$D$3:$D115,I$2)))</f>
        <v>-</v>
      </c>
      <c r="J115" s="2" t="str">
        <f>IF(J$1&gt;$Z$4,"-",IF(COUNTIF($D$3:$D115,J$2)=$Z$3,"Full",SUMIFS($C$3:$C115,$D$3:$D115,J$2)))</f>
        <v>-</v>
      </c>
      <c r="K115" s="2" t="str">
        <f>IF(K$1&gt;$Z$4,"-",IF(COUNTIF($D$3:$D115,K$2)=$Z$3,"Full",SUMIFS($C$3:$C115,$D$3:$D115,K$2)))</f>
        <v>-</v>
      </c>
      <c r="L115" s="2" t="str">
        <f>IF(L$1&gt;$Z$4,"-",IF(COUNTIF($D$3:$D115,L$2)=$Z$3,"Full",SUMIFS($C$3:$C115,$D$3:$D115,L$2)))</f>
        <v>-</v>
      </c>
      <c r="M115" s="2" t="str">
        <f>IF(M$1&gt;$Z$4,"-",IF(COUNTIF($D$3:$D115,M$2)=$Z$3,"Full",SUMIFS($C$3:$C115,$D$3:$D115,M$2)))</f>
        <v>-</v>
      </c>
      <c r="N115" s="2" t="str">
        <f>IF(N$1&gt;$Z$4,"-",IF(COUNTIF($D$3:$D115,N$2)=$Z$3,"Full",SUMIFS($C$3:$C115,$D$3:$D115,N$2)))</f>
        <v>-</v>
      </c>
      <c r="O115" s="2" t="str">
        <f>IF(O$1&gt;$Z$4,"-",IF(COUNTIF($D$3:$D115,O$2)=$Z$3,"Full",SUMIFS($C$3:$C115,$D$3:$D115,O$2)))</f>
        <v>-</v>
      </c>
      <c r="P115" s="2" t="str">
        <f>IF(P$1&gt;$Z$4,"-",IF(COUNTIF($D$3:$D115,P$2)=$Z$3,"Full",SUMIFS($C$3:$C115,$D$3:$D115,P$2)))</f>
        <v>-</v>
      </c>
      <c r="Q115" s="2" t="str">
        <f>IF(Q$1&gt;$Z$4,"-",IF(COUNTIF($D$3:$D115,Q$2)=$Z$3,"Full",SUMIFS($C$3:$C115,$D$3:$D115,Q$2)))</f>
        <v>-</v>
      </c>
      <c r="R115" s="2" t="str">
        <f>IF(R$1&gt;$Z$4,"-",IF(COUNTIF($D$3:$D115,R$2)=$Z$3,"Full",SUMIFS($C$3:$C115,$D$3:$D115,R$2)))</f>
        <v>-</v>
      </c>
      <c r="S115" s="2" t="str">
        <f>IF(S$1&gt;$Z$4,"-",IF(COUNTIF($D$3:$D115,S$2)=$Z$3,"Full",SUMIFS($C$3:$C115,$D$3:$D115,S$2)))</f>
        <v>-</v>
      </c>
      <c r="T115" s="11" t="str">
        <f>IF(T$1&gt;$Z$4,"-",IF(COUNTIF($D$3:$D115,T$2)=$Z$3,"Full",SUMIFS($C$3:$C115,$D$3:$D115,T$2)))</f>
        <v>-</v>
      </c>
    </row>
    <row r="116" spans="1:20" x14ac:dyDescent="0.25">
      <c r="A116" s="10" t="str">
        <f t="shared" si="154"/>
        <v/>
      </c>
      <c r="D116" s="2" t="str" cm="1">
        <f t="array" aca="1" ref="D116" ca="1">IFERROR(_xlfn.XLOOKUP(MIN(E115:INDIRECT($AA$4&amp;A116+1)),E115:INDIRECT($AA$4&amp;A116+1),$E$2:INDIRECT($AA$4&amp;"$2")),"-")</f>
        <v>-</v>
      </c>
      <c r="E116" s="2" t="str">
        <f ca="1">IF(E$1&gt;$Z$4,"-",IF(COUNTIF($D$3:$D116,E$2)=$Z$3,"Full",SUMIFS($C$3:$C116,$D$3:$D116,E$2)))</f>
        <v>Full</v>
      </c>
      <c r="F116" s="2" t="str">
        <f>IF(F$1&gt;$Z$4,"-",IF(COUNTIF($D$3:$D116,F$2)=$Z$3,"Full",SUMIFS($C$3:$C116,$D$3:$D116,F$2)))</f>
        <v>-</v>
      </c>
      <c r="G116" s="2" t="str">
        <f>IF(G$1&gt;$Z$4,"-",IF(COUNTIF($D$3:$D116,G$2)=$Z$3,"Full",SUMIFS($C$3:$C116,$D$3:$D116,G$2)))</f>
        <v>-</v>
      </c>
      <c r="H116" s="2" t="str">
        <f>IF(H$1&gt;$Z$4,"-",IF(COUNTIF($D$3:$D116,H$2)=$Z$3,"Full",SUMIFS($C$3:$C116,$D$3:$D116,H$2)))</f>
        <v>-</v>
      </c>
      <c r="I116" s="2" t="str">
        <f>IF(I$1&gt;$Z$4,"-",IF(COUNTIF($D$3:$D116,I$2)=$Z$3,"Full",SUMIFS($C$3:$C116,$D$3:$D116,I$2)))</f>
        <v>-</v>
      </c>
      <c r="J116" s="2" t="str">
        <f>IF(J$1&gt;$Z$4,"-",IF(COUNTIF($D$3:$D116,J$2)=$Z$3,"Full",SUMIFS($C$3:$C116,$D$3:$D116,J$2)))</f>
        <v>-</v>
      </c>
      <c r="K116" s="2" t="str">
        <f>IF(K$1&gt;$Z$4,"-",IF(COUNTIF($D$3:$D116,K$2)=$Z$3,"Full",SUMIFS($C$3:$C116,$D$3:$D116,K$2)))</f>
        <v>-</v>
      </c>
      <c r="L116" s="2" t="str">
        <f>IF(L$1&gt;$Z$4,"-",IF(COUNTIF($D$3:$D116,L$2)=$Z$3,"Full",SUMIFS($C$3:$C116,$D$3:$D116,L$2)))</f>
        <v>-</v>
      </c>
      <c r="M116" s="2" t="str">
        <f>IF(M$1&gt;$Z$4,"-",IF(COUNTIF($D$3:$D116,M$2)=$Z$3,"Full",SUMIFS($C$3:$C116,$D$3:$D116,M$2)))</f>
        <v>-</v>
      </c>
      <c r="N116" s="2" t="str">
        <f>IF(N$1&gt;$Z$4,"-",IF(COUNTIF($D$3:$D116,N$2)=$Z$3,"Full",SUMIFS($C$3:$C116,$D$3:$D116,N$2)))</f>
        <v>-</v>
      </c>
      <c r="O116" s="2" t="str">
        <f>IF(O$1&gt;$Z$4,"-",IF(COUNTIF($D$3:$D116,O$2)=$Z$3,"Full",SUMIFS($C$3:$C116,$D$3:$D116,O$2)))</f>
        <v>-</v>
      </c>
      <c r="P116" s="2" t="str">
        <f>IF(P$1&gt;$Z$4,"-",IF(COUNTIF($D$3:$D116,P$2)=$Z$3,"Full",SUMIFS($C$3:$C116,$D$3:$D116,P$2)))</f>
        <v>-</v>
      </c>
      <c r="Q116" s="2" t="str">
        <f>IF(Q$1&gt;$Z$4,"-",IF(COUNTIF($D$3:$D116,Q$2)=$Z$3,"Full",SUMIFS($C$3:$C116,$D$3:$D116,Q$2)))</f>
        <v>-</v>
      </c>
      <c r="R116" s="2" t="str">
        <f>IF(R$1&gt;$Z$4,"-",IF(COUNTIF($D$3:$D116,R$2)=$Z$3,"Full",SUMIFS($C$3:$C116,$D$3:$D116,R$2)))</f>
        <v>-</v>
      </c>
      <c r="S116" s="2" t="str">
        <f>IF(S$1&gt;$Z$4,"-",IF(COUNTIF($D$3:$D116,S$2)=$Z$3,"Full",SUMIFS($C$3:$C116,$D$3:$D116,S$2)))</f>
        <v>-</v>
      </c>
      <c r="T116" s="11" t="str">
        <f>IF(T$1&gt;$Z$4,"-",IF(COUNTIF($D$3:$D116,T$2)=$Z$3,"Full",SUMIFS($C$3:$C116,$D$3:$D116,T$2)))</f>
        <v>-</v>
      </c>
    </row>
    <row r="117" spans="1:20" x14ac:dyDescent="0.25">
      <c r="A117" s="10" t="str">
        <f t="shared" si="154"/>
        <v/>
      </c>
      <c r="D117" s="2" t="str" cm="1">
        <f t="array" aca="1" ref="D117" ca="1">IFERROR(_xlfn.XLOOKUP(MIN(E116:INDIRECT($AA$4&amp;A117+1)),E116:INDIRECT($AA$4&amp;A117+1),$E$2:INDIRECT($AA$4&amp;"$2")),"-")</f>
        <v>-</v>
      </c>
      <c r="E117" s="2" t="str">
        <f ca="1">IF(E$1&gt;$Z$4,"-",IF(COUNTIF($D$3:$D117,E$2)=$Z$3,"Full",SUMIFS($C$3:$C117,$D$3:$D117,E$2)))</f>
        <v>Full</v>
      </c>
      <c r="F117" s="2" t="str">
        <f>IF(F$1&gt;$Z$4,"-",IF(COUNTIF($D$3:$D117,F$2)=$Z$3,"Full",SUMIFS($C$3:$C117,$D$3:$D117,F$2)))</f>
        <v>-</v>
      </c>
      <c r="G117" s="2" t="str">
        <f>IF(G$1&gt;$Z$4,"-",IF(COUNTIF($D$3:$D117,G$2)=$Z$3,"Full",SUMIFS($C$3:$C117,$D$3:$D117,G$2)))</f>
        <v>-</v>
      </c>
      <c r="H117" s="2" t="str">
        <f>IF(H$1&gt;$Z$4,"-",IF(COUNTIF($D$3:$D117,H$2)=$Z$3,"Full",SUMIFS($C$3:$C117,$D$3:$D117,H$2)))</f>
        <v>-</v>
      </c>
      <c r="I117" s="2" t="str">
        <f>IF(I$1&gt;$Z$4,"-",IF(COUNTIF($D$3:$D117,I$2)=$Z$3,"Full",SUMIFS($C$3:$C117,$D$3:$D117,I$2)))</f>
        <v>-</v>
      </c>
      <c r="J117" s="2" t="str">
        <f>IF(J$1&gt;$Z$4,"-",IF(COUNTIF($D$3:$D117,J$2)=$Z$3,"Full",SUMIFS($C$3:$C117,$D$3:$D117,J$2)))</f>
        <v>-</v>
      </c>
      <c r="K117" s="2" t="str">
        <f>IF(K$1&gt;$Z$4,"-",IF(COUNTIF($D$3:$D117,K$2)=$Z$3,"Full",SUMIFS($C$3:$C117,$D$3:$D117,K$2)))</f>
        <v>-</v>
      </c>
      <c r="L117" s="2" t="str">
        <f>IF(L$1&gt;$Z$4,"-",IF(COUNTIF($D$3:$D117,L$2)=$Z$3,"Full",SUMIFS($C$3:$C117,$D$3:$D117,L$2)))</f>
        <v>-</v>
      </c>
      <c r="M117" s="2" t="str">
        <f>IF(M$1&gt;$Z$4,"-",IF(COUNTIF($D$3:$D117,M$2)=$Z$3,"Full",SUMIFS($C$3:$C117,$D$3:$D117,M$2)))</f>
        <v>-</v>
      </c>
      <c r="N117" s="2" t="str">
        <f>IF(N$1&gt;$Z$4,"-",IF(COUNTIF($D$3:$D117,N$2)=$Z$3,"Full",SUMIFS($C$3:$C117,$D$3:$D117,N$2)))</f>
        <v>-</v>
      </c>
      <c r="O117" s="2" t="str">
        <f>IF(O$1&gt;$Z$4,"-",IF(COUNTIF($D$3:$D117,O$2)=$Z$3,"Full",SUMIFS($C$3:$C117,$D$3:$D117,O$2)))</f>
        <v>-</v>
      </c>
      <c r="P117" s="2" t="str">
        <f>IF(P$1&gt;$Z$4,"-",IF(COUNTIF($D$3:$D117,P$2)=$Z$3,"Full",SUMIFS($C$3:$C117,$D$3:$D117,P$2)))</f>
        <v>-</v>
      </c>
      <c r="Q117" s="2" t="str">
        <f>IF(Q$1&gt;$Z$4,"-",IF(COUNTIF($D$3:$D117,Q$2)=$Z$3,"Full",SUMIFS($C$3:$C117,$D$3:$D117,Q$2)))</f>
        <v>-</v>
      </c>
      <c r="R117" s="2" t="str">
        <f>IF(R$1&gt;$Z$4,"-",IF(COUNTIF($D$3:$D117,R$2)=$Z$3,"Full",SUMIFS($C$3:$C117,$D$3:$D117,R$2)))</f>
        <v>-</v>
      </c>
      <c r="S117" s="2" t="str">
        <f>IF(S$1&gt;$Z$4,"-",IF(COUNTIF($D$3:$D117,S$2)=$Z$3,"Full",SUMIFS($C$3:$C117,$D$3:$D117,S$2)))</f>
        <v>-</v>
      </c>
      <c r="T117" s="11" t="str">
        <f>IF(T$1&gt;$Z$4,"-",IF(COUNTIF($D$3:$D117,T$2)=$Z$3,"Full",SUMIFS($C$3:$C117,$D$3:$D117,T$2)))</f>
        <v>-</v>
      </c>
    </row>
    <row r="118" spans="1:20" x14ac:dyDescent="0.25">
      <c r="A118" s="10" t="str">
        <f t="shared" si="154"/>
        <v/>
      </c>
      <c r="D118" s="2" t="str" cm="1">
        <f t="array" aca="1" ref="D118" ca="1">IFERROR(_xlfn.XLOOKUP(MIN(E117:INDIRECT($AA$4&amp;A118+1)),E117:INDIRECT($AA$4&amp;A118+1),$E$2:INDIRECT($AA$4&amp;"$2")),"-")</f>
        <v>-</v>
      </c>
      <c r="E118" s="2" t="str">
        <f ca="1">IF(E$1&gt;$Z$4,"-",IF(COUNTIF($D$3:$D118,E$2)=$Z$3,"Full",SUMIFS($C$3:$C118,$D$3:$D118,E$2)))</f>
        <v>Full</v>
      </c>
      <c r="F118" s="2" t="str">
        <f>IF(F$1&gt;$Z$4,"-",IF(COUNTIF($D$3:$D118,F$2)=$Z$3,"Full",SUMIFS($C$3:$C118,$D$3:$D118,F$2)))</f>
        <v>-</v>
      </c>
      <c r="G118" s="2" t="str">
        <f>IF(G$1&gt;$Z$4,"-",IF(COUNTIF($D$3:$D118,G$2)=$Z$3,"Full",SUMIFS($C$3:$C118,$D$3:$D118,G$2)))</f>
        <v>-</v>
      </c>
      <c r="H118" s="2" t="str">
        <f>IF(H$1&gt;$Z$4,"-",IF(COUNTIF($D$3:$D118,H$2)=$Z$3,"Full",SUMIFS($C$3:$C118,$D$3:$D118,H$2)))</f>
        <v>-</v>
      </c>
      <c r="I118" s="2" t="str">
        <f>IF(I$1&gt;$Z$4,"-",IF(COUNTIF($D$3:$D118,I$2)=$Z$3,"Full",SUMIFS($C$3:$C118,$D$3:$D118,I$2)))</f>
        <v>-</v>
      </c>
      <c r="J118" s="2" t="str">
        <f>IF(J$1&gt;$Z$4,"-",IF(COUNTIF($D$3:$D118,J$2)=$Z$3,"Full",SUMIFS($C$3:$C118,$D$3:$D118,J$2)))</f>
        <v>-</v>
      </c>
      <c r="K118" s="2" t="str">
        <f>IF(K$1&gt;$Z$4,"-",IF(COUNTIF($D$3:$D118,K$2)=$Z$3,"Full",SUMIFS($C$3:$C118,$D$3:$D118,K$2)))</f>
        <v>-</v>
      </c>
      <c r="L118" s="2" t="str">
        <f>IF(L$1&gt;$Z$4,"-",IF(COUNTIF($D$3:$D118,L$2)=$Z$3,"Full",SUMIFS($C$3:$C118,$D$3:$D118,L$2)))</f>
        <v>-</v>
      </c>
      <c r="M118" s="2" t="str">
        <f>IF(M$1&gt;$Z$4,"-",IF(COUNTIF($D$3:$D118,M$2)=$Z$3,"Full",SUMIFS($C$3:$C118,$D$3:$D118,M$2)))</f>
        <v>-</v>
      </c>
      <c r="N118" s="2" t="str">
        <f>IF(N$1&gt;$Z$4,"-",IF(COUNTIF($D$3:$D118,N$2)=$Z$3,"Full",SUMIFS($C$3:$C118,$D$3:$D118,N$2)))</f>
        <v>-</v>
      </c>
      <c r="O118" s="2" t="str">
        <f>IF(O$1&gt;$Z$4,"-",IF(COUNTIF($D$3:$D118,O$2)=$Z$3,"Full",SUMIFS($C$3:$C118,$D$3:$D118,O$2)))</f>
        <v>-</v>
      </c>
      <c r="P118" s="2" t="str">
        <f>IF(P$1&gt;$Z$4,"-",IF(COUNTIF($D$3:$D118,P$2)=$Z$3,"Full",SUMIFS($C$3:$C118,$D$3:$D118,P$2)))</f>
        <v>-</v>
      </c>
      <c r="Q118" s="2" t="str">
        <f>IF(Q$1&gt;$Z$4,"-",IF(COUNTIF($D$3:$D118,Q$2)=$Z$3,"Full",SUMIFS($C$3:$C118,$D$3:$D118,Q$2)))</f>
        <v>-</v>
      </c>
      <c r="R118" s="2" t="str">
        <f>IF(R$1&gt;$Z$4,"-",IF(COUNTIF($D$3:$D118,R$2)=$Z$3,"Full",SUMIFS($C$3:$C118,$D$3:$D118,R$2)))</f>
        <v>-</v>
      </c>
      <c r="S118" s="2" t="str">
        <f>IF(S$1&gt;$Z$4,"-",IF(COUNTIF($D$3:$D118,S$2)=$Z$3,"Full",SUMIFS($C$3:$C118,$D$3:$D118,S$2)))</f>
        <v>-</v>
      </c>
      <c r="T118" s="11" t="str">
        <f>IF(T$1&gt;$Z$4,"-",IF(COUNTIF($D$3:$D118,T$2)=$Z$3,"Full",SUMIFS($C$3:$C118,$D$3:$D118,T$2)))</f>
        <v>-</v>
      </c>
    </row>
    <row r="119" spans="1:20" x14ac:dyDescent="0.25">
      <c r="A119" s="10" t="str">
        <f t="shared" si="154"/>
        <v/>
      </c>
      <c r="D119" s="2" t="str" cm="1">
        <f t="array" aca="1" ref="D119" ca="1">IFERROR(_xlfn.XLOOKUP(MIN(E118:INDIRECT($AA$4&amp;A119+1)),E118:INDIRECT($AA$4&amp;A119+1),$E$2:INDIRECT($AA$4&amp;"$2")),"-")</f>
        <v>-</v>
      </c>
      <c r="E119" s="2" t="str">
        <f ca="1">IF(E$1&gt;$Z$4,"-",IF(COUNTIF($D$3:$D119,E$2)=$Z$3,"Full",SUMIFS($C$3:$C119,$D$3:$D119,E$2)))</f>
        <v>Full</v>
      </c>
      <c r="F119" s="2" t="str">
        <f>IF(F$1&gt;$Z$4,"-",IF(COUNTIF($D$3:$D119,F$2)=$Z$3,"Full",SUMIFS($C$3:$C119,$D$3:$D119,F$2)))</f>
        <v>-</v>
      </c>
      <c r="G119" s="2" t="str">
        <f>IF(G$1&gt;$Z$4,"-",IF(COUNTIF($D$3:$D119,G$2)=$Z$3,"Full",SUMIFS($C$3:$C119,$D$3:$D119,G$2)))</f>
        <v>-</v>
      </c>
      <c r="H119" s="2" t="str">
        <f>IF(H$1&gt;$Z$4,"-",IF(COUNTIF($D$3:$D119,H$2)=$Z$3,"Full",SUMIFS($C$3:$C119,$D$3:$D119,H$2)))</f>
        <v>-</v>
      </c>
      <c r="I119" s="2" t="str">
        <f>IF(I$1&gt;$Z$4,"-",IF(COUNTIF($D$3:$D119,I$2)=$Z$3,"Full",SUMIFS($C$3:$C119,$D$3:$D119,I$2)))</f>
        <v>-</v>
      </c>
      <c r="J119" s="2" t="str">
        <f>IF(J$1&gt;$Z$4,"-",IF(COUNTIF($D$3:$D119,J$2)=$Z$3,"Full",SUMIFS($C$3:$C119,$D$3:$D119,J$2)))</f>
        <v>-</v>
      </c>
      <c r="K119" s="2" t="str">
        <f>IF(K$1&gt;$Z$4,"-",IF(COUNTIF($D$3:$D119,K$2)=$Z$3,"Full",SUMIFS($C$3:$C119,$D$3:$D119,K$2)))</f>
        <v>-</v>
      </c>
      <c r="L119" s="2" t="str">
        <f>IF(L$1&gt;$Z$4,"-",IF(COUNTIF($D$3:$D119,L$2)=$Z$3,"Full",SUMIFS($C$3:$C119,$D$3:$D119,L$2)))</f>
        <v>-</v>
      </c>
      <c r="M119" s="2" t="str">
        <f>IF(M$1&gt;$Z$4,"-",IF(COUNTIF($D$3:$D119,M$2)=$Z$3,"Full",SUMIFS($C$3:$C119,$D$3:$D119,M$2)))</f>
        <v>-</v>
      </c>
      <c r="N119" s="2" t="str">
        <f>IF(N$1&gt;$Z$4,"-",IF(COUNTIF($D$3:$D119,N$2)=$Z$3,"Full",SUMIFS($C$3:$C119,$D$3:$D119,N$2)))</f>
        <v>-</v>
      </c>
      <c r="O119" s="2" t="str">
        <f>IF(O$1&gt;$Z$4,"-",IF(COUNTIF($D$3:$D119,O$2)=$Z$3,"Full",SUMIFS($C$3:$C119,$D$3:$D119,O$2)))</f>
        <v>-</v>
      </c>
      <c r="P119" s="2" t="str">
        <f>IF(P$1&gt;$Z$4,"-",IF(COUNTIF($D$3:$D119,P$2)=$Z$3,"Full",SUMIFS($C$3:$C119,$D$3:$D119,P$2)))</f>
        <v>-</v>
      </c>
      <c r="Q119" s="2" t="str">
        <f>IF(Q$1&gt;$Z$4,"-",IF(COUNTIF($D$3:$D119,Q$2)=$Z$3,"Full",SUMIFS($C$3:$C119,$D$3:$D119,Q$2)))</f>
        <v>-</v>
      </c>
      <c r="R119" s="2" t="str">
        <f>IF(R$1&gt;$Z$4,"-",IF(COUNTIF($D$3:$D119,R$2)=$Z$3,"Full",SUMIFS($C$3:$C119,$D$3:$D119,R$2)))</f>
        <v>-</v>
      </c>
      <c r="S119" s="2" t="str">
        <f>IF(S$1&gt;$Z$4,"-",IF(COUNTIF($D$3:$D119,S$2)=$Z$3,"Full",SUMIFS($C$3:$C119,$D$3:$D119,S$2)))</f>
        <v>-</v>
      </c>
      <c r="T119" s="11" t="str">
        <f>IF(T$1&gt;$Z$4,"-",IF(COUNTIF($D$3:$D119,T$2)=$Z$3,"Full",SUMIFS($C$3:$C119,$D$3:$D119,T$2)))</f>
        <v>-</v>
      </c>
    </row>
    <row r="120" spans="1:20" x14ac:dyDescent="0.25">
      <c r="A120" s="10" t="str">
        <f t="shared" si="154"/>
        <v/>
      </c>
      <c r="D120" s="2" t="str" cm="1">
        <f t="array" aca="1" ref="D120" ca="1">IFERROR(_xlfn.XLOOKUP(MIN(E119:INDIRECT($AA$4&amp;A120+1)),E119:INDIRECT($AA$4&amp;A120+1),$E$2:INDIRECT($AA$4&amp;"$2")),"-")</f>
        <v>-</v>
      </c>
      <c r="E120" s="2" t="str">
        <f ca="1">IF(E$1&gt;$Z$4,"-",IF(COUNTIF($D$3:$D120,E$2)=$Z$3,"Full",SUMIFS($C$3:$C120,$D$3:$D120,E$2)))</f>
        <v>Full</v>
      </c>
      <c r="F120" s="2" t="str">
        <f>IF(F$1&gt;$Z$4,"-",IF(COUNTIF($D$3:$D120,F$2)=$Z$3,"Full",SUMIFS($C$3:$C120,$D$3:$D120,F$2)))</f>
        <v>-</v>
      </c>
      <c r="G120" s="2" t="str">
        <f>IF(G$1&gt;$Z$4,"-",IF(COUNTIF($D$3:$D120,G$2)=$Z$3,"Full",SUMIFS($C$3:$C120,$D$3:$D120,G$2)))</f>
        <v>-</v>
      </c>
      <c r="H120" s="2" t="str">
        <f>IF(H$1&gt;$Z$4,"-",IF(COUNTIF($D$3:$D120,H$2)=$Z$3,"Full",SUMIFS($C$3:$C120,$D$3:$D120,H$2)))</f>
        <v>-</v>
      </c>
      <c r="I120" s="2" t="str">
        <f>IF(I$1&gt;$Z$4,"-",IF(COUNTIF($D$3:$D120,I$2)=$Z$3,"Full",SUMIFS($C$3:$C120,$D$3:$D120,I$2)))</f>
        <v>-</v>
      </c>
      <c r="J120" s="2" t="str">
        <f>IF(J$1&gt;$Z$4,"-",IF(COUNTIF($D$3:$D120,J$2)=$Z$3,"Full",SUMIFS($C$3:$C120,$D$3:$D120,J$2)))</f>
        <v>-</v>
      </c>
      <c r="K120" s="2" t="str">
        <f>IF(K$1&gt;$Z$4,"-",IF(COUNTIF($D$3:$D120,K$2)=$Z$3,"Full",SUMIFS($C$3:$C120,$D$3:$D120,K$2)))</f>
        <v>-</v>
      </c>
      <c r="L120" s="2" t="str">
        <f>IF(L$1&gt;$Z$4,"-",IF(COUNTIF($D$3:$D120,L$2)=$Z$3,"Full",SUMIFS($C$3:$C120,$D$3:$D120,L$2)))</f>
        <v>-</v>
      </c>
      <c r="M120" s="2" t="str">
        <f>IF(M$1&gt;$Z$4,"-",IF(COUNTIF($D$3:$D120,M$2)=$Z$3,"Full",SUMIFS($C$3:$C120,$D$3:$D120,M$2)))</f>
        <v>-</v>
      </c>
      <c r="N120" s="2" t="str">
        <f>IF(N$1&gt;$Z$4,"-",IF(COUNTIF($D$3:$D120,N$2)=$Z$3,"Full",SUMIFS($C$3:$C120,$D$3:$D120,N$2)))</f>
        <v>-</v>
      </c>
      <c r="O120" s="2" t="str">
        <f>IF(O$1&gt;$Z$4,"-",IF(COUNTIF($D$3:$D120,O$2)=$Z$3,"Full",SUMIFS($C$3:$C120,$D$3:$D120,O$2)))</f>
        <v>-</v>
      </c>
      <c r="P120" s="2" t="str">
        <f>IF(P$1&gt;$Z$4,"-",IF(COUNTIF($D$3:$D120,P$2)=$Z$3,"Full",SUMIFS($C$3:$C120,$D$3:$D120,P$2)))</f>
        <v>-</v>
      </c>
      <c r="Q120" s="2" t="str">
        <f>IF(Q$1&gt;$Z$4,"-",IF(COUNTIF($D$3:$D120,Q$2)=$Z$3,"Full",SUMIFS($C$3:$C120,$D$3:$D120,Q$2)))</f>
        <v>-</v>
      </c>
      <c r="R120" s="2" t="str">
        <f>IF(R$1&gt;$Z$4,"-",IF(COUNTIF($D$3:$D120,R$2)=$Z$3,"Full",SUMIFS($C$3:$C120,$D$3:$D120,R$2)))</f>
        <v>-</v>
      </c>
      <c r="S120" s="2" t="str">
        <f>IF(S$1&gt;$Z$4,"-",IF(COUNTIF($D$3:$D120,S$2)=$Z$3,"Full",SUMIFS($C$3:$C120,$D$3:$D120,S$2)))</f>
        <v>-</v>
      </c>
      <c r="T120" s="11" t="str">
        <f>IF(T$1&gt;$Z$4,"-",IF(COUNTIF($D$3:$D120,T$2)=$Z$3,"Full",SUMIFS($C$3:$C120,$D$3:$D120,T$2)))</f>
        <v>-</v>
      </c>
    </row>
    <row r="121" spans="1:20" x14ac:dyDescent="0.25">
      <c r="A121" s="10" t="str">
        <f t="shared" si="154"/>
        <v/>
      </c>
      <c r="D121" s="2" t="str" cm="1">
        <f t="array" aca="1" ref="D121" ca="1">IFERROR(_xlfn.XLOOKUP(MIN(E120:INDIRECT($AA$4&amp;A121+1)),E120:INDIRECT($AA$4&amp;A121+1),$E$2:INDIRECT($AA$4&amp;"$2")),"-")</f>
        <v>-</v>
      </c>
      <c r="E121" s="2" t="str">
        <f ca="1">IF(E$1&gt;$Z$4,"-",IF(COUNTIF($D$3:$D121,E$2)=$Z$3,"Full",SUMIFS($C$3:$C121,$D$3:$D121,E$2)))</f>
        <v>Full</v>
      </c>
      <c r="F121" s="2" t="str">
        <f>IF(F$1&gt;$Z$4,"-",IF(COUNTIF($D$3:$D121,F$2)=$Z$3,"Full",SUMIFS($C$3:$C121,$D$3:$D121,F$2)))</f>
        <v>-</v>
      </c>
      <c r="G121" s="2" t="str">
        <f>IF(G$1&gt;$Z$4,"-",IF(COUNTIF($D$3:$D121,G$2)=$Z$3,"Full",SUMIFS($C$3:$C121,$D$3:$D121,G$2)))</f>
        <v>-</v>
      </c>
      <c r="H121" s="2" t="str">
        <f>IF(H$1&gt;$Z$4,"-",IF(COUNTIF($D$3:$D121,H$2)=$Z$3,"Full",SUMIFS($C$3:$C121,$D$3:$D121,H$2)))</f>
        <v>-</v>
      </c>
      <c r="I121" s="2" t="str">
        <f>IF(I$1&gt;$Z$4,"-",IF(COUNTIF($D$3:$D121,I$2)=$Z$3,"Full",SUMIFS($C$3:$C121,$D$3:$D121,I$2)))</f>
        <v>-</v>
      </c>
      <c r="J121" s="2" t="str">
        <f>IF(J$1&gt;$Z$4,"-",IF(COUNTIF($D$3:$D121,J$2)=$Z$3,"Full",SUMIFS($C$3:$C121,$D$3:$D121,J$2)))</f>
        <v>-</v>
      </c>
      <c r="K121" s="2" t="str">
        <f>IF(K$1&gt;$Z$4,"-",IF(COUNTIF($D$3:$D121,K$2)=$Z$3,"Full",SUMIFS($C$3:$C121,$D$3:$D121,K$2)))</f>
        <v>-</v>
      </c>
      <c r="L121" s="2" t="str">
        <f>IF(L$1&gt;$Z$4,"-",IF(COUNTIF($D$3:$D121,L$2)=$Z$3,"Full",SUMIFS($C$3:$C121,$D$3:$D121,L$2)))</f>
        <v>-</v>
      </c>
      <c r="M121" s="2" t="str">
        <f>IF(M$1&gt;$Z$4,"-",IF(COUNTIF($D$3:$D121,M$2)=$Z$3,"Full",SUMIFS($C$3:$C121,$D$3:$D121,M$2)))</f>
        <v>-</v>
      </c>
      <c r="N121" s="2" t="str">
        <f>IF(N$1&gt;$Z$4,"-",IF(COUNTIF($D$3:$D121,N$2)=$Z$3,"Full",SUMIFS($C$3:$C121,$D$3:$D121,N$2)))</f>
        <v>-</v>
      </c>
      <c r="O121" s="2" t="str">
        <f>IF(O$1&gt;$Z$4,"-",IF(COUNTIF($D$3:$D121,O$2)=$Z$3,"Full",SUMIFS($C$3:$C121,$D$3:$D121,O$2)))</f>
        <v>-</v>
      </c>
      <c r="P121" s="2" t="str">
        <f>IF(P$1&gt;$Z$4,"-",IF(COUNTIF($D$3:$D121,P$2)=$Z$3,"Full",SUMIFS($C$3:$C121,$D$3:$D121,P$2)))</f>
        <v>-</v>
      </c>
      <c r="Q121" s="2" t="str">
        <f>IF(Q$1&gt;$Z$4,"-",IF(COUNTIF($D$3:$D121,Q$2)=$Z$3,"Full",SUMIFS($C$3:$C121,$D$3:$D121,Q$2)))</f>
        <v>-</v>
      </c>
      <c r="R121" s="2" t="str">
        <f>IF(R$1&gt;$Z$4,"-",IF(COUNTIF($D$3:$D121,R$2)=$Z$3,"Full",SUMIFS($C$3:$C121,$D$3:$D121,R$2)))</f>
        <v>-</v>
      </c>
      <c r="S121" s="2" t="str">
        <f>IF(S$1&gt;$Z$4,"-",IF(COUNTIF($D$3:$D121,S$2)=$Z$3,"Full",SUMIFS($C$3:$C121,$D$3:$D121,S$2)))</f>
        <v>-</v>
      </c>
      <c r="T121" s="11" t="str">
        <f>IF(T$1&gt;$Z$4,"-",IF(COUNTIF($D$3:$D121,T$2)=$Z$3,"Full",SUMIFS($C$3:$C121,$D$3:$D121,T$2)))</f>
        <v>-</v>
      </c>
    </row>
    <row r="122" spans="1:20" x14ac:dyDescent="0.25">
      <c r="A122" s="10" t="str">
        <f t="shared" si="154"/>
        <v/>
      </c>
      <c r="D122" s="2" t="str" cm="1">
        <f t="array" aca="1" ref="D122" ca="1">IFERROR(_xlfn.XLOOKUP(MIN(E121:INDIRECT($AA$4&amp;A122+1)),E121:INDIRECT($AA$4&amp;A122+1),$E$2:INDIRECT($AA$4&amp;"$2")),"-")</f>
        <v>-</v>
      </c>
      <c r="E122" s="2" t="str">
        <f ca="1">IF(E$1&gt;$Z$4,"-",IF(COUNTIF($D$3:$D122,E$2)=$Z$3,"Full",SUMIFS($C$3:$C122,$D$3:$D122,E$2)))</f>
        <v>Full</v>
      </c>
      <c r="F122" s="2" t="str">
        <f>IF(F$1&gt;$Z$4,"-",IF(COUNTIF($D$3:$D122,F$2)=$Z$3,"Full",SUMIFS($C$3:$C122,$D$3:$D122,F$2)))</f>
        <v>-</v>
      </c>
      <c r="G122" s="2" t="str">
        <f>IF(G$1&gt;$Z$4,"-",IF(COUNTIF($D$3:$D122,G$2)=$Z$3,"Full",SUMIFS($C$3:$C122,$D$3:$D122,G$2)))</f>
        <v>-</v>
      </c>
      <c r="H122" s="2" t="str">
        <f>IF(H$1&gt;$Z$4,"-",IF(COUNTIF($D$3:$D122,H$2)=$Z$3,"Full",SUMIFS($C$3:$C122,$D$3:$D122,H$2)))</f>
        <v>-</v>
      </c>
      <c r="I122" s="2" t="str">
        <f>IF(I$1&gt;$Z$4,"-",IF(COUNTIF($D$3:$D122,I$2)=$Z$3,"Full",SUMIFS($C$3:$C122,$D$3:$D122,I$2)))</f>
        <v>-</v>
      </c>
      <c r="J122" s="2" t="str">
        <f>IF(J$1&gt;$Z$4,"-",IF(COUNTIF($D$3:$D122,J$2)=$Z$3,"Full",SUMIFS($C$3:$C122,$D$3:$D122,J$2)))</f>
        <v>-</v>
      </c>
      <c r="K122" s="2" t="str">
        <f>IF(K$1&gt;$Z$4,"-",IF(COUNTIF($D$3:$D122,K$2)=$Z$3,"Full",SUMIFS($C$3:$C122,$D$3:$D122,K$2)))</f>
        <v>-</v>
      </c>
      <c r="L122" s="2" t="str">
        <f>IF(L$1&gt;$Z$4,"-",IF(COUNTIF($D$3:$D122,L$2)=$Z$3,"Full",SUMIFS($C$3:$C122,$D$3:$D122,L$2)))</f>
        <v>-</v>
      </c>
      <c r="M122" s="2" t="str">
        <f>IF(M$1&gt;$Z$4,"-",IF(COUNTIF($D$3:$D122,M$2)=$Z$3,"Full",SUMIFS($C$3:$C122,$D$3:$D122,M$2)))</f>
        <v>-</v>
      </c>
      <c r="N122" s="2" t="str">
        <f>IF(N$1&gt;$Z$4,"-",IF(COUNTIF($D$3:$D122,N$2)=$Z$3,"Full",SUMIFS($C$3:$C122,$D$3:$D122,N$2)))</f>
        <v>-</v>
      </c>
      <c r="O122" s="2" t="str">
        <f>IF(O$1&gt;$Z$4,"-",IF(COUNTIF($D$3:$D122,O$2)=$Z$3,"Full",SUMIFS($C$3:$C122,$D$3:$D122,O$2)))</f>
        <v>-</v>
      </c>
      <c r="P122" s="2" t="str">
        <f>IF(P$1&gt;$Z$4,"-",IF(COUNTIF($D$3:$D122,P$2)=$Z$3,"Full",SUMIFS($C$3:$C122,$D$3:$D122,P$2)))</f>
        <v>-</v>
      </c>
      <c r="Q122" s="2" t="str">
        <f>IF(Q$1&gt;$Z$4,"-",IF(COUNTIF($D$3:$D122,Q$2)=$Z$3,"Full",SUMIFS($C$3:$C122,$D$3:$D122,Q$2)))</f>
        <v>-</v>
      </c>
      <c r="R122" s="2" t="str">
        <f>IF(R$1&gt;$Z$4,"-",IF(COUNTIF($D$3:$D122,R$2)=$Z$3,"Full",SUMIFS($C$3:$C122,$D$3:$D122,R$2)))</f>
        <v>-</v>
      </c>
      <c r="S122" s="2" t="str">
        <f>IF(S$1&gt;$Z$4,"-",IF(COUNTIF($D$3:$D122,S$2)=$Z$3,"Full",SUMIFS($C$3:$C122,$D$3:$D122,S$2)))</f>
        <v>-</v>
      </c>
      <c r="T122" s="11" t="str">
        <f>IF(T$1&gt;$Z$4,"-",IF(COUNTIF($D$3:$D122,T$2)=$Z$3,"Full",SUMIFS($C$3:$C122,$D$3:$D122,T$2)))</f>
        <v>-</v>
      </c>
    </row>
    <row r="123" spans="1:20" x14ac:dyDescent="0.25">
      <c r="A123" s="10" t="str">
        <f t="shared" si="154"/>
        <v/>
      </c>
      <c r="D123" s="2" t="str" cm="1">
        <f t="array" aca="1" ref="D123" ca="1">IFERROR(_xlfn.XLOOKUP(MIN(E122:INDIRECT($AA$4&amp;A123+1)),E122:INDIRECT($AA$4&amp;A123+1),$E$2:INDIRECT($AA$4&amp;"$2")),"-")</f>
        <v>-</v>
      </c>
      <c r="E123" s="2" t="str">
        <f ca="1">IF(E$1&gt;$Z$4,"-",IF(COUNTIF($D$3:$D123,E$2)=$Z$3,"Full",SUMIFS($C$3:$C123,$D$3:$D123,E$2)))</f>
        <v>Full</v>
      </c>
      <c r="F123" s="2" t="str">
        <f>IF(F$1&gt;$Z$4,"-",IF(COUNTIF($D$3:$D123,F$2)=$Z$3,"Full",SUMIFS($C$3:$C123,$D$3:$D123,F$2)))</f>
        <v>-</v>
      </c>
      <c r="G123" s="2" t="str">
        <f>IF(G$1&gt;$Z$4,"-",IF(COUNTIF($D$3:$D123,G$2)=$Z$3,"Full",SUMIFS($C$3:$C123,$D$3:$D123,G$2)))</f>
        <v>-</v>
      </c>
      <c r="H123" s="2" t="str">
        <f>IF(H$1&gt;$Z$4,"-",IF(COUNTIF($D$3:$D123,H$2)=$Z$3,"Full",SUMIFS($C$3:$C123,$D$3:$D123,H$2)))</f>
        <v>-</v>
      </c>
      <c r="I123" s="2" t="str">
        <f>IF(I$1&gt;$Z$4,"-",IF(COUNTIF($D$3:$D123,I$2)=$Z$3,"Full",SUMIFS($C$3:$C123,$D$3:$D123,I$2)))</f>
        <v>-</v>
      </c>
      <c r="J123" s="2" t="str">
        <f>IF(J$1&gt;$Z$4,"-",IF(COUNTIF($D$3:$D123,J$2)=$Z$3,"Full",SUMIFS($C$3:$C123,$D$3:$D123,J$2)))</f>
        <v>-</v>
      </c>
      <c r="K123" s="2" t="str">
        <f>IF(K$1&gt;$Z$4,"-",IF(COUNTIF($D$3:$D123,K$2)=$Z$3,"Full",SUMIFS($C$3:$C123,$D$3:$D123,K$2)))</f>
        <v>-</v>
      </c>
      <c r="L123" s="2" t="str">
        <f>IF(L$1&gt;$Z$4,"-",IF(COUNTIF($D$3:$D123,L$2)=$Z$3,"Full",SUMIFS($C$3:$C123,$D$3:$D123,L$2)))</f>
        <v>-</v>
      </c>
      <c r="M123" s="2" t="str">
        <f>IF(M$1&gt;$Z$4,"-",IF(COUNTIF($D$3:$D123,M$2)=$Z$3,"Full",SUMIFS($C$3:$C123,$D$3:$D123,M$2)))</f>
        <v>-</v>
      </c>
      <c r="N123" s="2" t="str">
        <f>IF(N$1&gt;$Z$4,"-",IF(COUNTIF($D$3:$D123,N$2)=$Z$3,"Full",SUMIFS($C$3:$C123,$D$3:$D123,N$2)))</f>
        <v>-</v>
      </c>
      <c r="O123" s="2" t="str">
        <f>IF(O$1&gt;$Z$4,"-",IF(COUNTIF($D$3:$D123,O$2)=$Z$3,"Full",SUMIFS($C$3:$C123,$D$3:$D123,O$2)))</f>
        <v>-</v>
      </c>
      <c r="P123" s="2" t="str">
        <f>IF(P$1&gt;$Z$4,"-",IF(COUNTIF($D$3:$D123,P$2)=$Z$3,"Full",SUMIFS($C$3:$C123,$D$3:$D123,P$2)))</f>
        <v>-</v>
      </c>
      <c r="Q123" s="2" t="str">
        <f>IF(Q$1&gt;$Z$4,"-",IF(COUNTIF($D$3:$D123,Q$2)=$Z$3,"Full",SUMIFS($C$3:$C123,$D$3:$D123,Q$2)))</f>
        <v>-</v>
      </c>
      <c r="R123" s="2" t="str">
        <f>IF(R$1&gt;$Z$4,"-",IF(COUNTIF($D$3:$D123,R$2)=$Z$3,"Full",SUMIFS($C$3:$C123,$D$3:$D123,R$2)))</f>
        <v>-</v>
      </c>
      <c r="S123" s="2" t="str">
        <f>IF(S$1&gt;$Z$4,"-",IF(COUNTIF($D$3:$D123,S$2)=$Z$3,"Full",SUMIFS($C$3:$C123,$D$3:$D123,S$2)))</f>
        <v>-</v>
      </c>
      <c r="T123" s="11" t="str">
        <f>IF(T$1&gt;$Z$4,"-",IF(COUNTIF($D$3:$D123,T$2)=$Z$3,"Full",SUMIFS($C$3:$C123,$D$3:$D123,T$2)))</f>
        <v>-</v>
      </c>
    </row>
    <row r="124" spans="1:20" x14ac:dyDescent="0.25">
      <c r="A124" s="10" t="str">
        <f t="shared" si="154"/>
        <v/>
      </c>
      <c r="D124" s="2" t="str" cm="1">
        <f t="array" aca="1" ref="D124" ca="1">IFERROR(_xlfn.XLOOKUP(MIN(E123:INDIRECT($AA$4&amp;A124+1)),E123:INDIRECT($AA$4&amp;A124+1),$E$2:INDIRECT($AA$4&amp;"$2")),"-")</f>
        <v>-</v>
      </c>
      <c r="E124" s="2" t="str">
        <f ca="1">IF(E$1&gt;$Z$4,"-",IF(COUNTIF($D$3:$D124,E$2)=$Z$3,"Full",SUMIFS($C$3:$C124,$D$3:$D124,E$2)))</f>
        <v>Full</v>
      </c>
      <c r="F124" s="2" t="str">
        <f>IF(F$1&gt;$Z$4,"-",IF(COUNTIF($D$3:$D124,F$2)=$Z$3,"Full",SUMIFS($C$3:$C124,$D$3:$D124,F$2)))</f>
        <v>-</v>
      </c>
      <c r="G124" s="2" t="str">
        <f>IF(G$1&gt;$Z$4,"-",IF(COUNTIF($D$3:$D124,G$2)=$Z$3,"Full",SUMIFS($C$3:$C124,$D$3:$D124,G$2)))</f>
        <v>-</v>
      </c>
      <c r="H124" s="2" t="str">
        <f>IF(H$1&gt;$Z$4,"-",IF(COUNTIF($D$3:$D124,H$2)=$Z$3,"Full",SUMIFS($C$3:$C124,$D$3:$D124,H$2)))</f>
        <v>-</v>
      </c>
      <c r="I124" s="2" t="str">
        <f>IF(I$1&gt;$Z$4,"-",IF(COUNTIF($D$3:$D124,I$2)=$Z$3,"Full",SUMIFS($C$3:$C124,$D$3:$D124,I$2)))</f>
        <v>-</v>
      </c>
      <c r="J124" s="2" t="str">
        <f>IF(J$1&gt;$Z$4,"-",IF(COUNTIF($D$3:$D124,J$2)=$Z$3,"Full",SUMIFS($C$3:$C124,$D$3:$D124,J$2)))</f>
        <v>-</v>
      </c>
      <c r="K124" s="2" t="str">
        <f>IF(K$1&gt;$Z$4,"-",IF(COUNTIF($D$3:$D124,K$2)=$Z$3,"Full",SUMIFS($C$3:$C124,$D$3:$D124,K$2)))</f>
        <v>-</v>
      </c>
      <c r="L124" s="2" t="str">
        <f>IF(L$1&gt;$Z$4,"-",IF(COUNTIF($D$3:$D124,L$2)=$Z$3,"Full",SUMIFS($C$3:$C124,$D$3:$D124,L$2)))</f>
        <v>-</v>
      </c>
      <c r="M124" s="2" t="str">
        <f>IF(M$1&gt;$Z$4,"-",IF(COUNTIF($D$3:$D124,M$2)=$Z$3,"Full",SUMIFS($C$3:$C124,$D$3:$D124,M$2)))</f>
        <v>-</v>
      </c>
      <c r="N124" s="2" t="str">
        <f>IF(N$1&gt;$Z$4,"-",IF(COUNTIF($D$3:$D124,N$2)=$Z$3,"Full",SUMIFS($C$3:$C124,$D$3:$D124,N$2)))</f>
        <v>-</v>
      </c>
      <c r="O124" s="2" t="str">
        <f>IF(O$1&gt;$Z$4,"-",IF(COUNTIF($D$3:$D124,O$2)=$Z$3,"Full",SUMIFS($C$3:$C124,$D$3:$D124,O$2)))</f>
        <v>-</v>
      </c>
      <c r="P124" s="2" t="str">
        <f>IF(P$1&gt;$Z$4,"-",IF(COUNTIF($D$3:$D124,P$2)=$Z$3,"Full",SUMIFS($C$3:$C124,$D$3:$D124,P$2)))</f>
        <v>-</v>
      </c>
      <c r="Q124" s="2" t="str">
        <f>IF(Q$1&gt;$Z$4,"-",IF(COUNTIF($D$3:$D124,Q$2)=$Z$3,"Full",SUMIFS($C$3:$C124,$D$3:$D124,Q$2)))</f>
        <v>-</v>
      </c>
      <c r="R124" s="2" t="str">
        <f>IF(R$1&gt;$Z$4,"-",IF(COUNTIF($D$3:$D124,R$2)=$Z$3,"Full",SUMIFS($C$3:$C124,$D$3:$D124,R$2)))</f>
        <v>-</v>
      </c>
      <c r="S124" s="2" t="str">
        <f>IF(S$1&gt;$Z$4,"-",IF(COUNTIF($D$3:$D124,S$2)=$Z$3,"Full",SUMIFS($C$3:$C124,$D$3:$D124,S$2)))</f>
        <v>-</v>
      </c>
      <c r="T124" s="11" t="str">
        <f>IF(T$1&gt;$Z$4,"-",IF(COUNTIF($D$3:$D124,T$2)=$Z$3,"Full",SUMIFS($C$3:$C124,$D$3:$D124,T$2)))</f>
        <v>-</v>
      </c>
    </row>
    <row r="125" spans="1:20" x14ac:dyDescent="0.25">
      <c r="A125" s="10" t="str">
        <f t="shared" si="154"/>
        <v/>
      </c>
      <c r="D125" s="2" t="str" cm="1">
        <f t="array" aca="1" ref="D125" ca="1">IFERROR(_xlfn.XLOOKUP(MIN(E124:INDIRECT($AA$4&amp;A125+1)),E124:INDIRECT($AA$4&amp;A125+1),$E$2:INDIRECT($AA$4&amp;"$2")),"-")</f>
        <v>-</v>
      </c>
      <c r="E125" s="2" t="str">
        <f ca="1">IF(E$1&gt;$Z$4,"-",IF(COUNTIF($D$3:$D125,E$2)=$Z$3,"Full",SUMIFS($C$3:$C125,$D$3:$D125,E$2)))</f>
        <v>Full</v>
      </c>
      <c r="F125" s="2" t="str">
        <f>IF(F$1&gt;$Z$4,"-",IF(COUNTIF($D$3:$D125,F$2)=$Z$3,"Full",SUMIFS($C$3:$C125,$D$3:$D125,F$2)))</f>
        <v>-</v>
      </c>
      <c r="G125" s="2" t="str">
        <f>IF(G$1&gt;$Z$4,"-",IF(COUNTIF($D$3:$D125,G$2)=$Z$3,"Full",SUMIFS($C$3:$C125,$D$3:$D125,G$2)))</f>
        <v>-</v>
      </c>
      <c r="H125" s="2" t="str">
        <f>IF(H$1&gt;$Z$4,"-",IF(COUNTIF($D$3:$D125,H$2)=$Z$3,"Full",SUMIFS($C$3:$C125,$D$3:$D125,H$2)))</f>
        <v>-</v>
      </c>
      <c r="I125" s="2" t="str">
        <f>IF(I$1&gt;$Z$4,"-",IF(COUNTIF($D$3:$D125,I$2)=$Z$3,"Full",SUMIFS($C$3:$C125,$D$3:$D125,I$2)))</f>
        <v>-</v>
      </c>
      <c r="J125" s="2" t="str">
        <f>IF(J$1&gt;$Z$4,"-",IF(COUNTIF($D$3:$D125,J$2)=$Z$3,"Full",SUMIFS($C$3:$C125,$D$3:$D125,J$2)))</f>
        <v>-</v>
      </c>
      <c r="K125" s="2" t="str">
        <f>IF(K$1&gt;$Z$4,"-",IF(COUNTIF($D$3:$D125,K$2)=$Z$3,"Full",SUMIFS($C$3:$C125,$D$3:$D125,K$2)))</f>
        <v>-</v>
      </c>
      <c r="L125" s="2" t="str">
        <f>IF(L$1&gt;$Z$4,"-",IF(COUNTIF($D$3:$D125,L$2)=$Z$3,"Full",SUMIFS($C$3:$C125,$D$3:$D125,L$2)))</f>
        <v>-</v>
      </c>
      <c r="M125" s="2" t="str">
        <f>IF(M$1&gt;$Z$4,"-",IF(COUNTIF($D$3:$D125,M$2)=$Z$3,"Full",SUMIFS($C$3:$C125,$D$3:$D125,M$2)))</f>
        <v>-</v>
      </c>
      <c r="N125" s="2" t="str">
        <f>IF(N$1&gt;$Z$4,"-",IF(COUNTIF($D$3:$D125,N$2)=$Z$3,"Full",SUMIFS($C$3:$C125,$D$3:$D125,N$2)))</f>
        <v>-</v>
      </c>
      <c r="O125" s="2" t="str">
        <f>IF(O$1&gt;$Z$4,"-",IF(COUNTIF($D$3:$D125,O$2)=$Z$3,"Full",SUMIFS($C$3:$C125,$D$3:$D125,O$2)))</f>
        <v>-</v>
      </c>
      <c r="P125" s="2" t="str">
        <f>IF(P$1&gt;$Z$4,"-",IF(COUNTIF($D$3:$D125,P$2)=$Z$3,"Full",SUMIFS($C$3:$C125,$D$3:$D125,P$2)))</f>
        <v>-</v>
      </c>
      <c r="Q125" s="2" t="str">
        <f>IF(Q$1&gt;$Z$4,"-",IF(COUNTIF($D$3:$D125,Q$2)=$Z$3,"Full",SUMIFS($C$3:$C125,$D$3:$D125,Q$2)))</f>
        <v>-</v>
      </c>
      <c r="R125" s="2" t="str">
        <f>IF(R$1&gt;$Z$4,"-",IF(COUNTIF($D$3:$D125,R$2)=$Z$3,"Full",SUMIFS($C$3:$C125,$D$3:$D125,R$2)))</f>
        <v>-</v>
      </c>
      <c r="S125" s="2" t="str">
        <f>IF(S$1&gt;$Z$4,"-",IF(COUNTIF($D$3:$D125,S$2)=$Z$3,"Full",SUMIFS($C$3:$C125,$D$3:$D125,S$2)))</f>
        <v>-</v>
      </c>
      <c r="T125" s="11" t="str">
        <f>IF(T$1&gt;$Z$4,"-",IF(COUNTIF($D$3:$D125,T$2)=$Z$3,"Full",SUMIFS($C$3:$C125,$D$3:$D125,T$2)))</f>
        <v>-</v>
      </c>
    </row>
    <row r="126" spans="1:20" x14ac:dyDescent="0.25">
      <c r="A126" s="10" t="str">
        <f t="shared" si="154"/>
        <v/>
      </c>
      <c r="D126" s="2" t="str" cm="1">
        <f t="array" aca="1" ref="D126" ca="1">IFERROR(_xlfn.XLOOKUP(MIN(E125:INDIRECT($AA$4&amp;A126+1)),E125:INDIRECT($AA$4&amp;A126+1),$E$2:INDIRECT($AA$4&amp;"$2")),"-")</f>
        <v>-</v>
      </c>
      <c r="E126" s="2" t="str">
        <f ca="1">IF(E$1&gt;$Z$4,"-",IF(COUNTIF($D$3:$D126,E$2)=$Z$3,"Full",SUMIFS($C$3:$C126,$D$3:$D126,E$2)))</f>
        <v>Full</v>
      </c>
      <c r="F126" s="2" t="str">
        <f>IF(F$1&gt;$Z$4,"-",IF(COUNTIF($D$3:$D126,F$2)=$Z$3,"Full",SUMIFS($C$3:$C126,$D$3:$D126,F$2)))</f>
        <v>-</v>
      </c>
      <c r="G126" s="2" t="str">
        <f>IF(G$1&gt;$Z$4,"-",IF(COUNTIF($D$3:$D126,G$2)=$Z$3,"Full",SUMIFS($C$3:$C126,$D$3:$D126,G$2)))</f>
        <v>-</v>
      </c>
      <c r="H126" s="2" t="str">
        <f>IF(H$1&gt;$Z$4,"-",IF(COUNTIF($D$3:$D126,H$2)=$Z$3,"Full",SUMIFS($C$3:$C126,$D$3:$D126,H$2)))</f>
        <v>-</v>
      </c>
      <c r="I126" s="2" t="str">
        <f>IF(I$1&gt;$Z$4,"-",IF(COUNTIF($D$3:$D126,I$2)=$Z$3,"Full",SUMIFS($C$3:$C126,$D$3:$D126,I$2)))</f>
        <v>-</v>
      </c>
      <c r="J126" s="2" t="str">
        <f>IF(J$1&gt;$Z$4,"-",IF(COUNTIF($D$3:$D126,J$2)=$Z$3,"Full",SUMIFS($C$3:$C126,$D$3:$D126,J$2)))</f>
        <v>-</v>
      </c>
      <c r="K126" s="2" t="str">
        <f>IF(K$1&gt;$Z$4,"-",IF(COUNTIF($D$3:$D126,K$2)=$Z$3,"Full",SUMIFS($C$3:$C126,$D$3:$D126,K$2)))</f>
        <v>-</v>
      </c>
      <c r="L126" s="2" t="str">
        <f>IF(L$1&gt;$Z$4,"-",IF(COUNTIF($D$3:$D126,L$2)=$Z$3,"Full",SUMIFS($C$3:$C126,$D$3:$D126,L$2)))</f>
        <v>-</v>
      </c>
      <c r="M126" s="2" t="str">
        <f>IF(M$1&gt;$Z$4,"-",IF(COUNTIF($D$3:$D126,M$2)=$Z$3,"Full",SUMIFS($C$3:$C126,$D$3:$D126,M$2)))</f>
        <v>-</v>
      </c>
      <c r="N126" s="2" t="str">
        <f>IF(N$1&gt;$Z$4,"-",IF(COUNTIF($D$3:$D126,N$2)=$Z$3,"Full",SUMIFS($C$3:$C126,$D$3:$D126,N$2)))</f>
        <v>-</v>
      </c>
      <c r="O126" s="2" t="str">
        <f>IF(O$1&gt;$Z$4,"-",IF(COUNTIF($D$3:$D126,O$2)=$Z$3,"Full",SUMIFS($C$3:$C126,$D$3:$D126,O$2)))</f>
        <v>-</v>
      </c>
      <c r="P126" s="2" t="str">
        <f>IF(P$1&gt;$Z$4,"-",IF(COUNTIF($D$3:$D126,P$2)=$Z$3,"Full",SUMIFS($C$3:$C126,$D$3:$D126,P$2)))</f>
        <v>-</v>
      </c>
      <c r="Q126" s="2" t="str">
        <f>IF(Q$1&gt;$Z$4,"-",IF(COUNTIF($D$3:$D126,Q$2)=$Z$3,"Full",SUMIFS($C$3:$C126,$D$3:$D126,Q$2)))</f>
        <v>-</v>
      </c>
      <c r="R126" s="2" t="str">
        <f>IF(R$1&gt;$Z$4,"-",IF(COUNTIF($D$3:$D126,R$2)=$Z$3,"Full",SUMIFS($C$3:$C126,$D$3:$D126,R$2)))</f>
        <v>-</v>
      </c>
      <c r="S126" s="2" t="str">
        <f>IF(S$1&gt;$Z$4,"-",IF(COUNTIF($D$3:$D126,S$2)=$Z$3,"Full",SUMIFS($C$3:$C126,$D$3:$D126,S$2)))</f>
        <v>-</v>
      </c>
      <c r="T126" s="11" t="str">
        <f>IF(T$1&gt;$Z$4,"-",IF(COUNTIF($D$3:$D126,T$2)=$Z$3,"Full",SUMIFS($C$3:$C126,$D$3:$D126,T$2)))</f>
        <v>-</v>
      </c>
    </row>
    <row r="127" spans="1:20" x14ac:dyDescent="0.25">
      <c r="A127" s="10" t="str">
        <f t="shared" si="154"/>
        <v/>
      </c>
      <c r="D127" s="2" t="str" cm="1">
        <f t="array" aca="1" ref="D127" ca="1">IFERROR(_xlfn.XLOOKUP(MIN(E126:INDIRECT($AA$4&amp;A127+1)),E126:INDIRECT($AA$4&amp;A127+1),$E$2:INDIRECT($AA$4&amp;"$2")),"-")</f>
        <v>-</v>
      </c>
      <c r="E127" s="2" t="str">
        <f ca="1">IF(E$1&gt;$Z$4,"-",IF(COUNTIF($D$3:$D127,E$2)=$Z$3,"Full",SUMIFS($C$3:$C127,$D$3:$D127,E$2)))</f>
        <v>Full</v>
      </c>
      <c r="F127" s="2" t="str">
        <f>IF(F$1&gt;$Z$4,"-",IF(COUNTIF($D$3:$D127,F$2)=$Z$3,"Full",SUMIFS($C$3:$C127,$D$3:$D127,F$2)))</f>
        <v>-</v>
      </c>
      <c r="G127" s="2" t="str">
        <f>IF(G$1&gt;$Z$4,"-",IF(COUNTIF($D$3:$D127,G$2)=$Z$3,"Full",SUMIFS($C$3:$C127,$D$3:$D127,G$2)))</f>
        <v>-</v>
      </c>
      <c r="H127" s="2" t="str">
        <f>IF(H$1&gt;$Z$4,"-",IF(COUNTIF($D$3:$D127,H$2)=$Z$3,"Full",SUMIFS($C$3:$C127,$D$3:$D127,H$2)))</f>
        <v>-</v>
      </c>
      <c r="I127" s="2" t="str">
        <f>IF(I$1&gt;$Z$4,"-",IF(COUNTIF($D$3:$D127,I$2)=$Z$3,"Full",SUMIFS($C$3:$C127,$D$3:$D127,I$2)))</f>
        <v>-</v>
      </c>
      <c r="J127" s="2" t="str">
        <f>IF(J$1&gt;$Z$4,"-",IF(COUNTIF($D$3:$D127,J$2)=$Z$3,"Full",SUMIFS($C$3:$C127,$D$3:$D127,J$2)))</f>
        <v>-</v>
      </c>
      <c r="K127" s="2" t="str">
        <f>IF(K$1&gt;$Z$4,"-",IF(COUNTIF($D$3:$D127,K$2)=$Z$3,"Full",SUMIFS($C$3:$C127,$D$3:$D127,K$2)))</f>
        <v>-</v>
      </c>
      <c r="L127" s="2" t="str">
        <f>IF(L$1&gt;$Z$4,"-",IF(COUNTIF($D$3:$D127,L$2)=$Z$3,"Full",SUMIFS($C$3:$C127,$D$3:$D127,L$2)))</f>
        <v>-</v>
      </c>
      <c r="M127" s="2" t="str">
        <f>IF(M$1&gt;$Z$4,"-",IF(COUNTIF($D$3:$D127,M$2)=$Z$3,"Full",SUMIFS($C$3:$C127,$D$3:$D127,M$2)))</f>
        <v>-</v>
      </c>
      <c r="N127" s="2" t="str">
        <f>IF(N$1&gt;$Z$4,"-",IF(COUNTIF($D$3:$D127,N$2)=$Z$3,"Full",SUMIFS($C$3:$C127,$D$3:$D127,N$2)))</f>
        <v>-</v>
      </c>
      <c r="O127" s="2" t="str">
        <f>IF(O$1&gt;$Z$4,"-",IF(COUNTIF($D$3:$D127,O$2)=$Z$3,"Full",SUMIFS($C$3:$C127,$D$3:$D127,O$2)))</f>
        <v>-</v>
      </c>
      <c r="P127" s="2" t="str">
        <f>IF(P$1&gt;$Z$4,"-",IF(COUNTIF($D$3:$D127,P$2)=$Z$3,"Full",SUMIFS($C$3:$C127,$D$3:$D127,P$2)))</f>
        <v>-</v>
      </c>
      <c r="Q127" s="2" t="str">
        <f>IF(Q$1&gt;$Z$4,"-",IF(COUNTIF($D$3:$D127,Q$2)=$Z$3,"Full",SUMIFS($C$3:$C127,$D$3:$D127,Q$2)))</f>
        <v>-</v>
      </c>
      <c r="R127" s="2" t="str">
        <f>IF(R$1&gt;$Z$4,"-",IF(COUNTIF($D$3:$D127,R$2)=$Z$3,"Full",SUMIFS($C$3:$C127,$D$3:$D127,R$2)))</f>
        <v>-</v>
      </c>
      <c r="S127" s="2" t="str">
        <f>IF(S$1&gt;$Z$4,"-",IF(COUNTIF($D$3:$D127,S$2)=$Z$3,"Full",SUMIFS($C$3:$C127,$D$3:$D127,S$2)))</f>
        <v>-</v>
      </c>
      <c r="T127" s="11" t="str">
        <f>IF(T$1&gt;$Z$4,"-",IF(COUNTIF($D$3:$D127,T$2)=$Z$3,"Full",SUMIFS($C$3:$C127,$D$3:$D127,T$2)))</f>
        <v>-</v>
      </c>
    </row>
    <row r="128" spans="1:20" x14ac:dyDescent="0.25">
      <c r="A128" s="10" t="str">
        <f t="shared" si="154"/>
        <v/>
      </c>
      <c r="D128" s="2" t="str" cm="1">
        <f t="array" aca="1" ref="D128" ca="1">IFERROR(_xlfn.XLOOKUP(MIN(E127:INDIRECT($AA$4&amp;A128+1)),E127:INDIRECT($AA$4&amp;A128+1),$E$2:INDIRECT($AA$4&amp;"$2")),"-")</f>
        <v>-</v>
      </c>
      <c r="E128" s="2" t="str">
        <f ca="1">IF(E$1&gt;$Z$4,"-",IF(COUNTIF($D$3:$D128,E$2)=$Z$3,"Full",SUMIFS($C$3:$C128,$D$3:$D128,E$2)))</f>
        <v>Full</v>
      </c>
      <c r="F128" s="2" t="str">
        <f>IF(F$1&gt;$Z$4,"-",IF(COUNTIF($D$3:$D128,F$2)=$Z$3,"Full",SUMIFS($C$3:$C128,$D$3:$D128,F$2)))</f>
        <v>-</v>
      </c>
      <c r="G128" s="2" t="str">
        <f>IF(G$1&gt;$Z$4,"-",IF(COUNTIF($D$3:$D128,G$2)=$Z$3,"Full",SUMIFS($C$3:$C128,$D$3:$D128,G$2)))</f>
        <v>-</v>
      </c>
      <c r="H128" s="2" t="str">
        <f>IF(H$1&gt;$Z$4,"-",IF(COUNTIF($D$3:$D128,H$2)=$Z$3,"Full",SUMIFS($C$3:$C128,$D$3:$D128,H$2)))</f>
        <v>-</v>
      </c>
      <c r="I128" s="2" t="str">
        <f>IF(I$1&gt;$Z$4,"-",IF(COUNTIF($D$3:$D128,I$2)=$Z$3,"Full",SUMIFS($C$3:$C128,$D$3:$D128,I$2)))</f>
        <v>-</v>
      </c>
      <c r="J128" s="2" t="str">
        <f>IF(J$1&gt;$Z$4,"-",IF(COUNTIF($D$3:$D128,J$2)=$Z$3,"Full",SUMIFS($C$3:$C128,$D$3:$D128,J$2)))</f>
        <v>-</v>
      </c>
      <c r="K128" s="2" t="str">
        <f>IF(K$1&gt;$Z$4,"-",IF(COUNTIF($D$3:$D128,K$2)=$Z$3,"Full",SUMIFS($C$3:$C128,$D$3:$D128,K$2)))</f>
        <v>-</v>
      </c>
      <c r="L128" s="2" t="str">
        <f>IF(L$1&gt;$Z$4,"-",IF(COUNTIF($D$3:$D128,L$2)=$Z$3,"Full",SUMIFS($C$3:$C128,$D$3:$D128,L$2)))</f>
        <v>-</v>
      </c>
      <c r="M128" s="2" t="str">
        <f>IF(M$1&gt;$Z$4,"-",IF(COUNTIF($D$3:$D128,M$2)=$Z$3,"Full",SUMIFS($C$3:$C128,$D$3:$D128,M$2)))</f>
        <v>-</v>
      </c>
      <c r="N128" s="2" t="str">
        <f>IF(N$1&gt;$Z$4,"-",IF(COUNTIF($D$3:$D128,N$2)=$Z$3,"Full",SUMIFS($C$3:$C128,$D$3:$D128,N$2)))</f>
        <v>-</v>
      </c>
      <c r="O128" s="2" t="str">
        <f>IF(O$1&gt;$Z$4,"-",IF(COUNTIF($D$3:$D128,O$2)=$Z$3,"Full",SUMIFS($C$3:$C128,$D$3:$D128,O$2)))</f>
        <v>-</v>
      </c>
      <c r="P128" s="2" t="str">
        <f>IF(P$1&gt;$Z$4,"-",IF(COUNTIF($D$3:$D128,P$2)=$Z$3,"Full",SUMIFS($C$3:$C128,$D$3:$D128,P$2)))</f>
        <v>-</v>
      </c>
      <c r="Q128" s="2" t="str">
        <f>IF(Q$1&gt;$Z$4,"-",IF(COUNTIF($D$3:$D128,Q$2)=$Z$3,"Full",SUMIFS($C$3:$C128,$D$3:$D128,Q$2)))</f>
        <v>-</v>
      </c>
      <c r="R128" s="2" t="str">
        <f>IF(R$1&gt;$Z$4,"-",IF(COUNTIF($D$3:$D128,R$2)=$Z$3,"Full",SUMIFS($C$3:$C128,$D$3:$D128,R$2)))</f>
        <v>-</v>
      </c>
      <c r="S128" s="2" t="str">
        <f>IF(S$1&gt;$Z$4,"-",IF(COUNTIF($D$3:$D128,S$2)=$Z$3,"Full",SUMIFS($C$3:$C128,$D$3:$D128,S$2)))</f>
        <v>-</v>
      </c>
      <c r="T128" s="11" t="str">
        <f>IF(T$1&gt;$Z$4,"-",IF(COUNTIF($D$3:$D128,T$2)=$Z$3,"Full",SUMIFS($C$3:$C128,$D$3:$D128,T$2)))</f>
        <v>-</v>
      </c>
    </row>
    <row r="129" spans="1:20" x14ac:dyDescent="0.25">
      <c r="A129" s="10" t="str">
        <f t="shared" si="154"/>
        <v/>
      </c>
      <c r="D129" s="2" t="str" cm="1">
        <f t="array" aca="1" ref="D129" ca="1">IFERROR(_xlfn.XLOOKUP(MIN(E128:INDIRECT($AA$4&amp;A129+1)),E128:INDIRECT($AA$4&amp;A129+1),$E$2:INDIRECT($AA$4&amp;"$2")),"-")</f>
        <v>-</v>
      </c>
      <c r="E129" s="2" t="str">
        <f ca="1">IF(E$1&gt;$Z$4,"-",IF(COUNTIF($D$3:$D129,E$2)=$Z$3,"Full",SUMIFS($C$3:$C129,$D$3:$D129,E$2)))</f>
        <v>Full</v>
      </c>
      <c r="F129" s="2" t="str">
        <f>IF(F$1&gt;$Z$4,"-",IF(COUNTIF($D$3:$D129,F$2)=$Z$3,"Full",SUMIFS($C$3:$C129,$D$3:$D129,F$2)))</f>
        <v>-</v>
      </c>
      <c r="G129" s="2" t="str">
        <f>IF(G$1&gt;$Z$4,"-",IF(COUNTIF($D$3:$D129,G$2)=$Z$3,"Full",SUMIFS($C$3:$C129,$D$3:$D129,G$2)))</f>
        <v>-</v>
      </c>
      <c r="H129" s="2" t="str">
        <f>IF(H$1&gt;$Z$4,"-",IF(COUNTIF($D$3:$D129,H$2)=$Z$3,"Full",SUMIFS($C$3:$C129,$D$3:$D129,H$2)))</f>
        <v>-</v>
      </c>
      <c r="I129" s="2" t="str">
        <f>IF(I$1&gt;$Z$4,"-",IF(COUNTIF($D$3:$D129,I$2)=$Z$3,"Full",SUMIFS($C$3:$C129,$D$3:$D129,I$2)))</f>
        <v>-</v>
      </c>
      <c r="J129" s="2" t="str">
        <f>IF(J$1&gt;$Z$4,"-",IF(COUNTIF($D$3:$D129,J$2)=$Z$3,"Full",SUMIFS($C$3:$C129,$D$3:$D129,J$2)))</f>
        <v>-</v>
      </c>
      <c r="K129" s="2" t="str">
        <f>IF(K$1&gt;$Z$4,"-",IF(COUNTIF($D$3:$D129,K$2)=$Z$3,"Full",SUMIFS($C$3:$C129,$D$3:$D129,K$2)))</f>
        <v>-</v>
      </c>
      <c r="L129" s="2" t="str">
        <f>IF(L$1&gt;$Z$4,"-",IF(COUNTIF($D$3:$D129,L$2)=$Z$3,"Full",SUMIFS($C$3:$C129,$D$3:$D129,L$2)))</f>
        <v>-</v>
      </c>
      <c r="M129" s="2" t="str">
        <f>IF(M$1&gt;$Z$4,"-",IF(COUNTIF($D$3:$D129,M$2)=$Z$3,"Full",SUMIFS($C$3:$C129,$D$3:$D129,M$2)))</f>
        <v>-</v>
      </c>
      <c r="N129" s="2" t="str">
        <f>IF(N$1&gt;$Z$4,"-",IF(COUNTIF($D$3:$D129,N$2)=$Z$3,"Full",SUMIFS($C$3:$C129,$D$3:$D129,N$2)))</f>
        <v>-</v>
      </c>
      <c r="O129" s="2" t="str">
        <f>IF(O$1&gt;$Z$4,"-",IF(COUNTIF($D$3:$D129,O$2)=$Z$3,"Full",SUMIFS($C$3:$C129,$D$3:$D129,O$2)))</f>
        <v>-</v>
      </c>
      <c r="P129" s="2" t="str">
        <f>IF(P$1&gt;$Z$4,"-",IF(COUNTIF($D$3:$D129,P$2)=$Z$3,"Full",SUMIFS($C$3:$C129,$D$3:$D129,P$2)))</f>
        <v>-</v>
      </c>
      <c r="Q129" s="2" t="str">
        <f>IF(Q$1&gt;$Z$4,"-",IF(COUNTIF($D$3:$D129,Q$2)=$Z$3,"Full",SUMIFS($C$3:$C129,$D$3:$D129,Q$2)))</f>
        <v>-</v>
      </c>
      <c r="R129" s="2" t="str">
        <f>IF(R$1&gt;$Z$4,"-",IF(COUNTIF($D$3:$D129,R$2)=$Z$3,"Full",SUMIFS($C$3:$C129,$D$3:$D129,R$2)))</f>
        <v>-</v>
      </c>
      <c r="S129" s="2" t="str">
        <f>IF(S$1&gt;$Z$4,"-",IF(COUNTIF($D$3:$D129,S$2)=$Z$3,"Full",SUMIFS($C$3:$C129,$D$3:$D129,S$2)))</f>
        <v>-</v>
      </c>
      <c r="T129" s="11" t="str">
        <f>IF(T$1&gt;$Z$4,"-",IF(COUNTIF($D$3:$D129,T$2)=$Z$3,"Full",SUMIFS($C$3:$C129,$D$3:$D129,T$2)))</f>
        <v>-</v>
      </c>
    </row>
    <row r="130" spans="1:20" x14ac:dyDescent="0.25">
      <c r="A130" s="10" t="str">
        <f t="shared" si="154"/>
        <v/>
      </c>
      <c r="D130" s="2" t="str" cm="1">
        <f t="array" aca="1" ref="D130" ca="1">IFERROR(_xlfn.XLOOKUP(MIN(E129:INDIRECT($AA$4&amp;A130+1)),E129:INDIRECT($AA$4&amp;A130+1),$E$2:INDIRECT($AA$4&amp;"$2")),"-")</f>
        <v>-</v>
      </c>
      <c r="E130" s="2" t="str">
        <f ca="1">IF(E$1&gt;$Z$4,"-",IF(COUNTIF($D$3:$D130,E$2)=$Z$3,"Full",SUMIFS($C$3:$C130,$D$3:$D130,E$2)))</f>
        <v>Full</v>
      </c>
      <c r="F130" s="2" t="str">
        <f>IF(F$1&gt;$Z$4,"-",IF(COUNTIF($D$3:$D130,F$2)=$Z$3,"Full",SUMIFS($C$3:$C130,$D$3:$D130,F$2)))</f>
        <v>-</v>
      </c>
      <c r="G130" s="2" t="str">
        <f>IF(G$1&gt;$Z$4,"-",IF(COUNTIF($D$3:$D130,G$2)=$Z$3,"Full",SUMIFS($C$3:$C130,$D$3:$D130,G$2)))</f>
        <v>-</v>
      </c>
      <c r="H130" s="2" t="str">
        <f>IF(H$1&gt;$Z$4,"-",IF(COUNTIF($D$3:$D130,H$2)=$Z$3,"Full",SUMIFS($C$3:$C130,$D$3:$D130,H$2)))</f>
        <v>-</v>
      </c>
      <c r="I130" s="2" t="str">
        <f>IF(I$1&gt;$Z$4,"-",IF(COUNTIF($D$3:$D130,I$2)=$Z$3,"Full",SUMIFS($C$3:$C130,$D$3:$D130,I$2)))</f>
        <v>-</v>
      </c>
      <c r="J130" s="2" t="str">
        <f>IF(J$1&gt;$Z$4,"-",IF(COUNTIF($D$3:$D130,J$2)=$Z$3,"Full",SUMIFS($C$3:$C130,$D$3:$D130,J$2)))</f>
        <v>-</v>
      </c>
      <c r="K130" s="2" t="str">
        <f>IF(K$1&gt;$Z$4,"-",IF(COUNTIF($D$3:$D130,K$2)=$Z$3,"Full",SUMIFS($C$3:$C130,$D$3:$D130,K$2)))</f>
        <v>-</v>
      </c>
      <c r="L130" s="2" t="str">
        <f>IF(L$1&gt;$Z$4,"-",IF(COUNTIF($D$3:$D130,L$2)=$Z$3,"Full",SUMIFS($C$3:$C130,$D$3:$D130,L$2)))</f>
        <v>-</v>
      </c>
      <c r="M130" s="2" t="str">
        <f>IF(M$1&gt;$Z$4,"-",IF(COUNTIF($D$3:$D130,M$2)=$Z$3,"Full",SUMIFS($C$3:$C130,$D$3:$D130,M$2)))</f>
        <v>-</v>
      </c>
      <c r="N130" s="2" t="str">
        <f>IF(N$1&gt;$Z$4,"-",IF(COUNTIF($D$3:$D130,N$2)=$Z$3,"Full",SUMIFS($C$3:$C130,$D$3:$D130,N$2)))</f>
        <v>-</v>
      </c>
      <c r="O130" s="2" t="str">
        <f>IF(O$1&gt;$Z$4,"-",IF(COUNTIF($D$3:$D130,O$2)=$Z$3,"Full",SUMIFS($C$3:$C130,$D$3:$D130,O$2)))</f>
        <v>-</v>
      </c>
      <c r="P130" s="2" t="str">
        <f>IF(P$1&gt;$Z$4,"-",IF(COUNTIF($D$3:$D130,P$2)=$Z$3,"Full",SUMIFS($C$3:$C130,$D$3:$D130,P$2)))</f>
        <v>-</v>
      </c>
      <c r="Q130" s="2" t="str">
        <f>IF(Q$1&gt;$Z$4,"-",IF(COUNTIF($D$3:$D130,Q$2)=$Z$3,"Full",SUMIFS($C$3:$C130,$D$3:$D130,Q$2)))</f>
        <v>-</v>
      </c>
      <c r="R130" s="2" t="str">
        <f>IF(R$1&gt;$Z$4,"-",IF(COUNTIF($D$3:$D130,R$2)=$Z$3,"Full",SUMIFS($C$3:$C130,$D$3:$D130,R$2)))</f>
        <v>-</v>
      </c>
      <c r="S130" s="2" t="str">
        <f>IF(S$1&gt;$Z$4,"-",IF(COUNTIF($D$3:$D130,S$2)=$Z$3,"Full",SUMIFS($C$3:$C130,$D$3:$D130,S$2)))</f>
        <v>-</v>
      </c>
      <c r="T130" s="11" t="str">
        <f>IF(T$1&gt;$Z$4,"-",IF(COUNTIF($D$3:$D130,T$2)=$Z$3,"Full",SUMIFS($C$3:$C130,$D$3:$D130,T$2)))</f>
        <v>-</v>
      </c>
    </row>
    <row r="131" spans="1:20" x14ac:dyDescent="0.25">
      <c r="A131" s="10" t="str">
        <f t="shared" si="154"/>
        <v/>
      </c>
      <c r="D131" s="2" t="str" cm="1">
        <f t="array" aca="1" ref="D131" ca="1">IFERROR(_xlfn.XLOOKUP(MIN(E130:INDIRECT($AA$4&amp;A131+1)),E130:INDIRECT($AA$4&amp;A131+1),$E$2:INDIRECT($AA$4&amp;"$2")),"-")</f>
        <v>-</v>
      </c>
      <c r="E131" s="2" t="str">
        <f ca="1">IF(E$1&gt;$Z$4,"-",IF(COUNTIF($D$3:$D131,E$2)=$Z$3,"Full",SUMIFS($C$3:$C131,$D$3:$D131,E$2)))</f>
        <v>Full</v>
      </c>
      <c r="F131" s="2" t="str">
        <f>IF(F$1&gt;$Z$4,"-",IF(COUNTIF($D$3:$D131,F$2)=$Z$3,"Full",SUMIFS($C$3:$C131,$D$3:$D131,F$2)))</f>
        <v>-</v>
      </c>
      <c r="G131" s="2" t="str">
        <f>IF(G$1&gt;$Z$4,"-",IF(COUNTIF($D$3:$D131,G$2)=$Z$3,"Full",SUMIFS($C$3:$C131,$D$3:$D131,G$2)))</f>
        <v>-</v>
      </c>
      <c r="H131" s="2" t="str">
        <f>IF(H$1&gt;$Z$4,"-",IF(COUNTIF($D$3:$D131,H$2)=$Z$3,"Full",SUMIFS($C$3:$C131,$D$3:$D131,H$2)))</f>
        <v>-</v>
      </c>
      <c r="I131" s="2" t="str">
        <f>IF(I$1&gt;$Z$4,"-",IF(COUNTIF($D$3:$D131,I$2)=$Z$3,"Full",SUMIFS($C$3:$C131,$D$3:$D131,I$2)))</f>
        <v>-</v>
      </c>
      <c r="J131" s="2" t="str">
        <f>IF(J$1&gt;$Z$4,"-",IF(COUNTIF($D$3:$D131,J$2)=$Z$3,"Full",SUMIFS($C$3:$C131,$D$3:$D131,J$2)))</f>
        <v>-</v>
      </c>
      <c r="K131" s="2" t="str">
        <f>IF(K$1&gt;$Z$4,"-",IF(COUNTIF($D$3:$D131,K$2)=$Z$3,"Full",SUMIFS($C$3:$C131,$D$3:$D131,K$2)))</f>
        <v>-</v>
      </c>
      <c r="L131" s="2" t="str">
        <f>IF(L$1&gt;$Z$4,"-",IF(COUNTIF($D$3:$D131,L$2)=$Z$3,"Full",SUMIFS($C$3:$C131,$D$3:$D131,L$2)))</f>
        <v>-</v>
      </c>
      <c r="M131" s="2" t="str">
        <f>IF(M$1&gt;$Z$4,"-",IF(COUNTIF($D$3:$D131,M$2)=$Z$3,"Full",SUMIFS($C$3:$C131,$D$3:$D131,M$2)))</f>
        <v>-</v>
      </c>
      <c r="N131" s="2" t="str">
        <f>IF(N$1&gt;$Z$4,"-",IF(COUNTIF($D$3:$D131,N$2)=$Z$3,"Full",SUMIFS($C$3:$C131,$D$3:$D131,N$2)))</f>
        <v>-</v>
      </c>
      <c r="O131" s="2" t="str">
        <f>IF(O$1&gt;$Z$4,"-",IF(COUNTIF($D$3:$D131,O$2)=$Z$3,"Full",SUMIFS($C$3:$C131,$D$3:$D131,O$2)))</f>
        <v>-</v>
      </c>
      <c r="P131" s="2" t="str">
        <f>IF(P$1&gt;$Z$4,"-",IF(COUNTIF($D$3:$D131,P$2)=$Z$3,"Full",SUMIFS($C$3:$C131,$D$3:$D131,P$2)))</f>
        <v>-</v>
      </c>
      <c r="Q131" s="2" t="str">
        <f>IF(Q$1&gt;$Z$4,"-",IF(COUNTIF($D$3:$D131,Q$2)=$Z$3,"Full",SUMIFS($C$3:$C131,$D$3:$D131,Q$2)))</f>
        <v>-</v>
      </c>
      <c r="R131" s="2" t="str">
        <f>IF(R$1&gt;$Z$4,"-",IF(COUNTIF($D$3:$D131,R$2)=$Z$3,"Full",SUMIFS($C$3:$C131,$D$3:$D131,R$2)))</f>
        <v>-</v>
      </c>
      <c r="S131" s="2" t="str">
        <f>IF(S$1&gt;$Z$4,"-",IF(COUNTIF($D$3:$D131,S$2)=$Z$3,"Full",SUMIFS($C$3:$C131,$D$3:$D131,S$2)))</f>
        <v>-</v>
      </c>
      <c r="T131" s="11" t="str">
        <f>IF(T$1&gt;$Z$4,"-",IF(COUNTIF($D$3:$D131,T$2)=$Z$3,"Full",SUMIFS($C$3:$C131,$D$3:$D131,T$2)))</f>
        <v>-</v>
      </c>
    </row>
    <row r="132" spans="1:20" x14ac:dyDescent="0.25">
      <c r="A132" s="10" t="str">
        <f t="shared" si="154"/>
        <v/>
      </c>
      <c r="D132" s="2" t="str" cm="1">
        <f t="array" aca="1" ref="D132" ca="1">IFERROR(_xlfn.XLOOKUP(MIN(E131:INDIRECT($AA$4&amp;A132+1)),E131:INDIRECT($AA$4&amp;A132+1),$E$2:INDIRECT($AA$4&amp;"$2")),"-")</f>
        <v>-</v>
      </c>
      <c r="E132" s="2" t="str">
        <f ca="1">IF(E$1&gt;$Z$4,"-",IF(COUNTIF($D$3:$D132,E$2)=$Z$3,"Full",SUMIFS($C$3:$C132,$D$3:$D132,E$2)))</f>
        <v>Full</v>
      </c>
      <c r="F132" s="2" t="str">
        <f>IF(F$1&gt;$Z$4,"-",IF(COUNTIF($D$3:$D132,F$2)=$Z$3,"Full",SUMIFS($C$3:$C132,$D$3:$D132,F$2)))</f>
        <v>-</v>
      </c>
      <c r="G132" s="2" t="str">
        <f>IF(G$1&gt;$Z$4,"-",IF(COUNTIF($D$3:$D132,G$2)=$Z$3,"Full",SUMIFS($C$3:$C132,$D$3:$D132,G$2)))</f>
        <v>-</v>
      </c>
      <c r="H132" s="2" t="str">
        <f>IF(H$1&gt;$Z$4,"-",IF(COUNTIF($D$3:$D132,H$2)=$Z$3,"Full",SUMIFS($C$3:$C132,$D$3:$D132,H$2)))</f>
        <v>-</v>
      </c>
      <c r="I132" s="2" t="str">
        <f>IF(I$1&gt;$Z$4,"-",IF(COUNTIF($D$3:$D132,I$2)=$Z$3,"Full",SUMIFS($C$3:$C132,$D$3:$D132,I$2)))</f>
        <v>-</v>
      </c>
      <c r="J132" s="2" t="str">
        <f>IF(J$1&gt;$Z$4,"-",IF(COUNTIF($D$3:$D132,J$2)=$Z$3,"Full",SUMIFS($C$3:$C132,$D$3:$D132,J$2)))</f>
        <v>-</v>
      </c>
      <c r="K132" s="2" t="str">
        <f>IF(K$1&gt;$Z$4,"-",IF(COUNTIF($D$3:$D132,K$2)=$Z$3,"Full",SUMIFS($C$3:$C132,$D$3:$D132,K$2)))</f>
        <v>-</v>
      </c>
      <c r="L132" s="2" t="str">
        <f>IF(L$1&gt;$Z$4,"-",IF(COUNTIF($D$3:$D132,L$2)=$Z$3,"Full",SUMIFS($C$3:$C132,$D$3:$D132,L$2)))</f>
        <v>-</v>
      </c>
      <c r="M132" s="2" t="str">
        <f>IF(M$1&gt;$Z$4,"-",IF(COUNTIF($D$3:$D132,M$2)=$Z$3,"Full",SUMIFS($C$3:$C132,$D$3:$D132,M$2)))</f>
        <v>-</v>
      </c>
      <c r="N132" s="2" t="str">
        <f>IF(N$1&gt;$Z$4,"-",IF(COUNTIF($D$3:$D132,N$2)=$Z$3,"Full",SUMIFS($C$3:$C132,$D$3:$D132,N$2)))</f>
        <v>-</v>
      </c>
      <c r="O132" s="2" t="str">
        <f>IF(O$1&gt;$Z$4,"-",IF(COUNTIF($D$3:$D132,O$2)=$Z$3,"Full",SUMIFS($C$3:$C132,$D$3:$D132,O$2)))</f>
        <v>-</v>
      </c>
      <c r="P132" s="2" t="str">
        <f>IF(P$1&gt;$Z$4,"-",IF(COUNTIF($D$3:$D132,P$2)=$Z$3,"Full",SUMIFS($C$3:$C132,$D$3:$D132,P$2)))</f>
        <v>-</v>
      </c>
      <c r="Q132" s="2" t="str">
        <f>IF(Q$1&gt;$Z$4,"-",IF(COUNTIF($D$3:$D132,Q$2)=$Z$3,"Full",SUMIFS($C$3:$C132,$D$3:$D132,Q$2)))</f>
        <v>-</v>
      </c>
      <c r="R132" s="2" t="str">
        <f>IF(R$1&gt;$Z$4,"-",IF(COUNTIF($D$3:$D132,R$2)=$Z$3,"Full",SUMIFS($C$3:$C132,$D$3:$D132,R$2)))</f>
        <v>-</v>
      </c>
      <c r="S132" s="2" t="str">
        <f>IF(S$1&gt;$Z$4,"-",IF(COUNTIF($D$3:$D132,S$2)=$Z$3,"Full",SUMIFS($C$3:$C132,$D$3:$D132,S$2)))</f>
        <v>-</v>
      </c>
      <c r="T132" s="11" t="str">
        <f>IF(T$1&gt;$Z$4,"-",IF(COUNTIF($D$3:$D132,T$2)=$Z$3,"Full",SUMIFS($C$3:$C132,$D$3:$D132,T$2)))</f>
        <v>-</v>
      </c>
    </row>
    <row r="133" spans="1:20" x14ac:dyDescent="0.25">
      <c r="A133" s="10" t="str">
        <f t="shared" ref="A133:A196" si="155">IF(B133="","",A132+1)</f>
        <v/>
      </c>
      <c r="D133" s="2" t="str" cm="1">
        <f t="array" aca="1" ref="D133" ca="1">IFERROR(_xlfn.XLOOKUP(MIN(E132:INDIRECT($AA$4&amp;A133+1)),E132:INDIRECT($AA$4&amp;A133+1),$E$2:INDIRECT($AA$4&amp;"$2")),"-")</f>
        <v>-</v>
      </c>
      <c r="E133" s="2" t="str">
        <f ca="1">IF(E$1&gt;$Z$4,"-",IF(COUNTIF($D$3:$D133,E$2)=$Z$3,"Full",SUMIFS($C$3:$C133,$D$3:$D133,E$2)))</f>
        <v>Full</v>
      </c>
      <c r="F133" s="2" t="str">
        <f>IF(F$1&gt;$Z$4,"-",IF(COUNTIF($D$3:$D133,F$2)=$Z$3,"Full",SUMIFS($C$3:$C133,$D$3:$D133,F$2)))</f>
        <v>-</v>
      </c>
      <c r="G133" s="2" t="str">
        <f>IF(G$1&gt;$Z$4,"-",IF(COUNTIF($D$3:$D133,G$2)=$Z$3,"Full",SUMIFS($C$3:$C133,$D$3:$D133,G$2)))</f>
        <v>-</v>
      </c>
      <c r="H133" s="2" t="str">
        <f>IF(H$1&gt;$Z$4,"-",IF(COUNTIF($D$3:$D133,H$2)=$Z$3,"Full",SUMIFS($C$3:$C133,$D$3:$D133,H$2)))</f>
        <v>-</v>
      </c>
      <c r="I133" s="2" t="str">
        <f>IF(I$1&gt;$Z$4,"-",IF(COUNTIF($D$3:$D133,I$2)=$Z$3,"Full",SUMIFS($C$3:$C133,$D$3:$D133,I$2)))</f>
        <v>-</v>
      </c>
      <c r="J133" s="2" t="str">
        <f>IF(J$1&gt;$Z$4,"-",IF(COUNTIF($D$3:$D133,J$2)=$Z$3,"Full",SUMIFS($C$3:$C133,$D$3:$D133,J$2)))</f>
        <v>-</v>
      </c>
      <c r="K133" s="2" t="str">
        <f>IF(K$1&gt;$Z$4,"-",IF(COUNTIF($D$3:$D133,K$2)=$Z$3,"Full",SUMIFS($C$3:$C133,$D$3:$D133,K$2)))</f>
        <v>-</v>
      </c>
      <c r="L133" s="2" t="str">
        <f>IF(L$1&gt;$Z$4,"-",IF(COUNTIF($D$3:$D133,L$2)=$Z$3,"Full",SUMIFS($C$3:$C133,$D$3:$D133,L$2)))</f>
        <v>-</v>
      </c>
      <c r="M133" s="2" t="str">
        <f>IF(M$1&gt;$Z$4,"-",IF(COUNTIF($D$3:$D133,M$2)=$Z$3,"Full",SUMIFS($C$3:$C133,$D$3:$D133,M$2)))</f>
        <v>-</v>
      </c>
      <c r="N133" s="2" t="str">
        <f>IF(N$1&gt;$Z$4,"-",IF(COUNTIF($D$3:$D133,N$2)=$Z$3,"Full",SUMIFS($C$3:$C133,$D$3:$D133,N$2)))</f>
        <v>-</v>
      </c>
      <c r="O133" s="2" t="str">
        <f>IF(O$1&gt;$Z$4,"-",IF(COUNTIF($D$3:$D133,O$2)=$Z$3,"Full",SUMIFS($C$3:$C133,$D$3:$D133,O$2)))</f>
        <v>-</v>
      </c>
      <c r="P133" s="2" t="str">
        <f>IF(P$1&gt;$Z$4,"-",IF(COUNTIF($D$3:$D133,P$2)=$Z$3,"Full",SUMIFS($C$3:$C133,$D$3:$D133,P$2)))</f>
        <v>-</v>
      </c>
      <c r="Q133" s="2" t="str">
        <f>IF(Q$1&gt;$Z$4,"-",IF(COUNTIF($D$3:$D133,Q$2)=$Z$3,"Full",SUMIFS($C$3:$C133,$D$3:$D133,Q$2)))</f>
        <v>-</v>
      </c>
      <c r="R133" s="2" t="str">
        <f>IF(R$1&gt;$Z$4,"-",IF(COUNTIF($D$3:$D133,R$2)=$Z$3,"Full",SUMIFS($C$3:$C133,$D$3:$D133,R$2)))</f>
        <v>-</v>
      </c>
      <c r="S133" s="2" t="str">
        <f>IF(S$1&gt;$Z$4,"-",IF(COUNTIF($D$3:$D133,S$2)=$Z$3,"Full",SUMIFS($C$3:$C133,$D$3:$D133,S$2)))</f>
        <v>-</v>
      </c>
      <c r="T133" s="11" t="str">
        <f>IF(T$1&gt;$Z$4,"-",IF(COUNTIF($D$3:$D133,T$2)=$Z$3,"Full",SUMIFS($C$3:$C133,$D$3:$D133,T$2)))</f>
        <v>-</v>
      </c>
    </row>
    <row r="134" spans="1:20" x14ac:dyDescent="0.25">
      <c r="A134" s="10" t="str">
        <f t="shared" si="155"/>
        <v/>
      </c>
      <c r="D134" s="2" t="str" cm="1">
        <f t="array" aca="1" ref="D134" ca="1">IFERROR(_xlfn.XLOOKUP(MIN(E133:INDIRECT($AA$4&amp;A134+1)),E133:INDIRECT($AA$4&amp;A134+1),$E$2:INDIRECT($AA$4&amp;"$2")),"-")</f>
        <v>-</v>
      </c>
      <c r="E134" s="2" t="str">
        <f ca="1">IF(E$1&gt;$Z$4,"-",IF(COUNTIF($D$3:$D134,E$2)=$Z$3,"Full",SUMIFS($C$3:$C134,$D$3:$D134,E$2)))</f>
        <v>Full</v>
      </c>
      <c r="F134" s="2" t="str">
        <f>IF(F$1&gt;$Z$4,"-",IF(COUNTIF($D$3:$D134,F$2)=$Z$3,"Full",SUMIFS($C$3:$C134,$D$3:$D134,F$2)))</f>
        <v>-</v>
      </c>
      <c r="G134" s="2" t="str">
        <f>IF(G$1&gt;$Z$4,"-",IF(COUNTIF($D$3:$D134,G$2)=$Z$3,"Full",SUMIFS($C$3:$C134,$D$3:$D134,G$2)))</f>
        <v>-</v>
      </c>
      <c r="H134" s="2" t="str">
        <f>IF(H$1&gt;$Z$4,"-",IF(COUNTIF($D$3:$D134,H$2)=$Z$3,"Full",SUMIFS($C$3:$C134,$D$3:$D134,H$2)))</f>
        <v>-</v>
      </c>
      <c r="I134" s="2" t="str">
        <f>IF(I$1&gt;$Z$4,"-",IF(COUNTIF($D$3:$D134,I$2)=$Z$3,"Full",SUMIFS($C$3:$C134,$D$3:$D134,I$2)))</f>
        <v>-</v>
      </c>
      <c r="J134" s="2" t="str">
        <f>IF(J$1&gt;$Z$4,"-",IF(COUNTIF($D$3:$D134,J$2)=$Z$3,"Full",SUMIFS($C$3:$C134,$D$3:$D134,J$2)))</f>
        <v>-</v>
      </c>
      <c r="K134" s="2" t="str">
        <f>IF(K$1&gt;$Z$4,"-",IF(COUNTIF($D$3:$D134,K$2)=$Z$3,"Full",SUMIFS($C$3:$C134,$D$3:$D134,K$2)))</f>
        <v>-</v>
      </c>
      <c r="L134" s="2" t="str">
        <f>IF(L$1&gt;$Z$4,"-",IF(COUNTIF($D$3:$D134,L$2)=$Z$3,"Full",SUMIFS($C$3:$C134,$D$3:$D134,L$2)))</f>
        <v>-</v>
      </c>
      <c r="M134" s="2" t="str">
        <f>IF(M$1&gt;$Z$4,"-",IF(COUNTIF($D$3:$D134,M$2)=$Z$3,"Full",SUMIFS($C$3:$C134,$D$3:$D134,M$2)))</f>
        <v>-</v>
      </c>
      <c r="N134" s="2" t="str">
        <f>IF(N$1&gt;$Z$4,"-",IF(COUNTIF($D$3:$D134,N$2)=$Z$3,"Full",SUMIFS($C$3:$C134,$D$3:$D134,N$2)))</f>
        <v>-</v>
      </c>
      <c r="O134" s="2" t="str">
        <f>IF(O$1&gt;$Z$4,"-",IF(COUNTIF($D$3:$D134,O$2)=$Z$3,"Full",SUMIFS($C$3:$C134,$D$3:$D134,O$2)))</f>
        <v>-</v>
      </c>
      <c r="P134" s="2" t="str">
        <f>IF(P$1&gt;$Z$4,"-",IF(COUNTIF($D$3:$D134,P$2)=$Z$3,"Full",SUMIFS($C$3:$C134,$D$3:$D134,P$2)))</f>
        <v>-</v>
      </c>
      <c r="Q134" s="2" t="str">
        <f>IF(Q$1&gt;$Z$4,"-",IF(COUNTIF($D$3:$D134,Q$2)=$Z$3,"Full",SUMIFS($C$3:$C134,$D$3:$D134,Q$2)))</f>
        <v>-</v>
      </c>
      <c r="R134" s="2" t="str">
        <f>IF(R$1&gt;$Z$4,"-",IF(COUNTIF($D$3:$D134,R$2)=$Z$3,"Full",SUMIFS($C$3:$C134,$D$3:$D134,R$2)))</f>
        <v>-</v>
      </c>
      <c r="S134" s="2" t="str">
        <f>IF(S$1&gt;$Z$4,"-",IF(COUNTIF($D$3:$D134,S$2)=$Z$3,"Full",SUMIFS($C$3:$C134,$D$3:$D134,S$2)))</f>
        <v>-</v>
      </c>
      <c r="T134" s="11" t="str">
        <f>IF(T$1&gt;$Z$4,"-",IF(COUNTIF($D$3:$D134,T$2)=$Z$3,"Full",SUMIFS($C$3:$C134,$D$3:$D134,T$2)))</f>
        <v>-</v>
      </c>
    </row>
    <row r="135" spans="1:20" x14ac:dyDescent="0.25">
      <c r="A135" s="10" t="str">
        <f t="shared" si="155"/>
        <v/>
      </c>
      <c r="D135" s="2" t="str" cm="1">
        <f t="array" aca="1" ref="D135" ca="1">IFERROR(_xlfn.XLOOKUP(MIN(E134:INDIRECT($AA$4&amp;A135+1)),E134:INDIRECT($AA$4&amp;A135+1),$E$2:INDIRECT($AA$4&amp;"$2")),"-")</f>
        <v>-</v>
      </c>
      <c r="E135" s="2" t="str">
        <f ca="1">IF(E$1&gt;$Z$4,"-",IF(COUNTIF($D$3:$D135,E$2)=$Z$3,"Full",SUMIFS($C$3:$C135,$D$3:$D135,E$2)))</f>
        <v>Full</v>
      </c>
      <c r="F135" s="2" t="str">
        <f>IF(F$1&gt;$Z$4,"-",IF(COUNTIF($D$3:$D135,F$2)=$Z$3,"Full",SUMIFS($C$3:$C135,$D$3:$D135,F$2)))</f>
        <v>-</v>
      </c>
      <c r="G135" s="2" t="str">
        <f>IF(G$1&gt;$Z$4,"-",IF(COUNTIF($D$3:$D135,G$2)=$Z$3,"Full",SUMIFS($C$3:$C135,$D$3:$D135,G$2)))</f>
        <v>-</v>
      </c>
      <c r="H135" s="2" t="str">
        <f>IF(H$1&gt;$Z$4,"-",IF(COUNTIF($D$3:$D135,H$2)=$Z$3,"Full",SUMIFS($C$3:$C135,$D$3:$D135,H$2)))</f>
        <v>-</v>
      </c>
      <c r="I135" s="2" t="str">
        <f>IF(I$1&gt;$Z$4,"-",IF(COUNTIF($D$3:$D135,I$2)=$Z$3,"Full",SUMIFS($C$3:$C135,$D$3:$D135,I$2)))</f>
        <v>-</v>
      </c>
      <c r="J135" s="2" t="str">
        <f>IF(J$1&gt;$Z$4,"-",IF(COUNTIF($D$3:$D135,J$2)=$Z$3,"Full",SUMIFS($C$3:$C135,$D$3:$D135,J$2)))</f>
        <v>-</v>
      </c>
      <c r="K135" s="2" t="str">
        <f>IF(K$1&gt;$Z$4,"-",IF(COUNTIF($D$3:$D135,K$2)=$Z$3,"Full",SUMIFS($C$3:$C135,$D$3:$D135,K$2)))</f>
        <v>-</v>
      </c>
      <c r="L135" s="2" t="str">
        <f>IF(L$1&gt;$Z$4,"-",IF(COUNTIF($D$3:$D135,L$2)=$Z$3,"Full",SUMIFS($C$3:$C135,$D$3:$D135,L$2)))</f>
        <v>-</v>
      </c>
      <c r="M135" s="2" t="str">
        <f>IF(M$1&gt;$Z$4,"-",IF(COUNTIF($D$3:$D135,M$2)=$Z$3,"Full",SUMIFS($C$3:$C135,$D$3:$D135,M$2)))</f>
        <v>-</v>
      </c>
      <c r="N135" s="2" t="str">
        <f>IF(N$1&gt;$Z$4,"-",IF(COUNTIF($D$3:$D135,N$2)=$Z$3,"Full",SUMIFS($C$3:$C135,$D$3:$D135,N$2)))</f>
        <v>-</v>
      </c>
      <c r="O135" s="2" t="str">
        <f>IF(O$1&gt;$Z$4,"-",IF(COUNTIF($D$3:$D135,O$2)=$Z$3,"Full",SUMIFS($C$3:$C135,$D$3:$D135,O$2)))</f>
        <v>-</v>
      </c>
      <c r="P135" s="2" t="str">
        <f>IF(P$1&gt;$Z$4,"-",IF(COUNTIF($D$3:$D135,P$2)=$Z$3,"Full",SUMIFS($C$3:$C135,$D$3:$D135,P$2)))</f>
        <v>-</v>
      </c>
      <c r="Q135" s="2" t="str">
        <f>IF(Q$1&gt;$Z$4,"-",IF(COUNTIF($D$3:$D135,Q$2)=$Z$3,"Full",SUMIFS($C$3:$C135,$D$3:$D135,Q$2)))</f>
        <v>-</v>
      </c>
      <c r="R135" s="2" t="str">
        <f>IF(R$1&gt;$Z$4,"-",IF(COUNTIF($D$3:$D135,R$2)=$Z$3,"Full",SUMIFS($C$3:$C135,$D$3:$D135,R$2)))</f>
        <v>-</v>
      </c>
      <c r="S135" s="2" t="str">
        <f>IF(S$1&gt;$Z$4,"-",IF(COUNTIF($D$3:$D135,S$2)=$Z$3,"Full",SUMIFS($C$3:$C135,$D$3:$D135,S$2)))</f>
        <v>-</v>
      </c>
      <c r="T135" s="11" t="str">
        <f>IF(T$1&gt;$Z$4,"-",IF(COUNTIF($D$3:$D135,T$2)=$Z$3,"Full",SUMIFS($C$3:$C135,$D$3:$D135,T$2)))</f>
        <v>-</v>
      </c>
    </row>
    <row r="136" spans="1:20" x14ac:dyDescent="0.25">
      <c r="A136" s="10" t="str">
        <f t="shared" si="155"/>
        <v/>
      </c>
      <c r="D136" s="2" t="str" cm="1">
        <f t="array" aca="1" ref="D136" ca="1">IFERROR(_xlfn.XLOOKUP(MIN(E135:INDIRECT($AA$4&amp;A136+1)),E135:INDIRECT($AA$4&amp;A136+1),$E$2:INDIRECT($AA$4&amp;"$2")),"-")</f>
        <v>-</v>
      </c>
      <c r="E136" s="2" t="str">
        <f ca="1">IF(E$1&gt;$Z$4,"-",IF(COUNTIF($D$3:$D136,E$2)=$Z$3,"Full",SUMIFS($C$3:$C136,$D$3:$D136,E$2)))</f>
        <v>Full</v>
      </c>
      <c r="F136" s="2" t="str">
        <f>IF(F$1&gt;$Z$4,"-",IF(COUNTIF($D$3:$D136,F$2)=$Z$3,"Full",SUMIFS($C$3:$C136,$D$3:$D136,F$2)))</f>
        <v>-</v>
      </c>
      <c r="G136" s="2" t="str">
        <f>IF(G$1&gt;$Z$4,"-",IF(COUNTIF($D$3:$D136,G$2)=$Z$3,"Full",SUMIFS($C$3:$C136,$D$3:$D136,G$2)))</f>
        <v>-</v>
      </c>
      <c r="H136" s="2" t="str">
        <f>IF(H$1&gt;$Z$4,"-",IF(COUNTIF($D$3:$D136,H$2)=$Z$3,"Full",SUMIFS($C$3:$C136,$D$3:$D136,H$2)))</f>
        <v>-</v>
      </c>
      <c r="I136" s="2" t="str">
        <f>IF(I$1&gt;$Z$4,"-",IF(COUNTIF($D$3:$D136,I$2)=$Z$3,"Full",SUMIFS($C$3:$C136,$D$3:$D136,I$2)))</f>
        <v>-</v>
      </c>
      <c r="J136" s="2" t="str">
        <f>IF(J$1&gt;$Z$4,"-",IF(COUNTIF($D$3:$D136,J$2)=$Z$3,"Full",SUMIFS($C$3:$C136,$D$3:$D136,J$2)))</f>
        <v>-</v>
      </c>
      <c r="K136" s="2" t="str">
        <f>IF(K$1&gt;$Z$4,"-",IF(COUNTIF($D$3:$D136,K$2)=$Z$3,"Full",SUMIFS($C$3:$C136,$D$3:$D136,K$2)))</f>
        <v>-</v>
      </c>
      <c r="L136" s="2" t="str">
        <f>IF(L$1&gt;$Z$4,"-",IF(COUNTIF($D$3:$D136,L$2)=$Z$3,"Full",SUMIFS($C$3:$C136,$D$3:$D136,L$2)))</f>
        <v>-</v>
      </c>
      <c r="M136" s="2" t="str">
        <f>IF(M$1&gt;$Z$4,"-",IF(COUNTIF($D$3:$D136,M$2)=$Z$3,"Full",SUMIFS($C$3:$C136,$D$3:$D136,M$2)))</f>
        <v>-</v>
      </c>
      <c r="N136" s="2" t="str">
        <f>IF(N$1&gt;$Z$4,"-",IF(COUNTIF($D$3:$D136,N$2)=$Z$3,"Full",SUMIFS($C$3:$C136,$D$3:$D136,N$2)))</f>
        <v>-</v>
      </c>
      <c r="O136" s="2" t="str">
        <f>IF(O$1&gt;$Z$4,"-",IF(COUNTIF($D$3:$D136,O$2)=$Z$3,"Full",SUMIFS($C$3:$C136,$D$3:$D136,O$2)))</f>
        <v>-</v>
      </c>
      <c r="P136" s="2" t="str">
        <f>IF(P$1&gt;$Z$4,"-",IF(COUNTIF($D$3:$D136,P$2)=$Z$3,"Full",SUMIFS($C$3:$C136,$D$3:$D136,P$2)))</f>
        <v>-</v>
      </c>
      <c r="Q136" s="2" t="str">
        <f>IF(Q$1&gt;$Z$4,"-",IF(COUNTIF($D$3:$D136,Q$2)=$Z$3,"Full",SUMIFS($C$3:$C136,$D$3:$D136,Q$2)))</f>
        <v>-</v>
      </c>
      <c r="R136" s="2" t="str">
        <f>IF(R$1&gt;$Z$4,"-",IF(COUNTIF($D$3:$D136,R$2)=$Z$3,"Full",SUMIFS($C$3:$C136,$D$3:$D136,R$2)))</f>
        <v>-</v>
      </c>
      <c r="S136" s="2" t="str">
        <f>IF(S$1&gt;$Z$4,"-",IF(COUNTIF($D$3:$D136,S$2)=$Z$3,"Full",SUMIFS($C$3:$C136,$D$3:$D136,S$2)))</f>
        <v>-</v>
      </c>
      <c r="T136" s="11" t="str">
        <f>IF(T$1&gt;$Z$4,"-",IF(COUNTIF($D$3:$D136,T$2)=$Z$3,"Full",SUMIFS($C$3:$C136,$D$3:$D136,T$2)))</f>
        <v>-</v>
      </c>
    </row>
    <row r="137" spans="1:20" x14ac:dyDescent="0.25">
      <c r="A137" s="10" t="str">
        <f t="shared" si="155"/>
        <v/>
      </c>
      <c r="D137" s="2" t="str" cm="1">
        <f t="array" aca="1" ref="D137" ca="1">IFERROR(_xlfn.XLOOKUP(MIN(E136:INDIRECT($AA$4&amp;A137+1)),E136:INDIRECT($AA$4&amp;A137+1),$E$2:INDIRECT($AA$4&amp;"$2")),"-")</f>
        <v>-</v>
      </c>
      <c r="E137" s="2" t="str">
        <f ca="1">IF(E$1&gt;$Z$4,"-",IF(COUNTIF($D$3:$D137,E$2)=$Z$3,"Full",SUMIFS($C$3:$C137,$D$3:$D137,E$2)))</f>
        <v>Full</v>
      </c>
      <c r="F137" s="2" t="str">
        <f>IF(F$1&gt;$Z$4,"-",IF(COUNTIF($D$3:$D137,F$2)=$Z$3,"Full",SUMIFS($C$3:$C137,$D$3:$D137,F$2)))</f>
        <v>-</v>
      </c>
      <c r="G137" s="2" t="str">
        <f>IF(G$1&gt;$Z$4,"-",IF(COUNTIF($D$3:$D137,G$2)=$Z$3,"Full",SUMIFS($C$3:$C137,$D$3:$D137,G$2)))</f>
        <v>-</v>
      </c>
      <c r="H137" s="2" t="str">
        <f>IF(H$1&gt;$Z$4,"-",IF(COUNTIF($D$3:$D137,H$2)=$Z$3,"Full",SUMIFS($C$3:$C137,$D$3:$D137,H$2)))</f>
        <v>-</v>
      </c>
      <c r="I137" s="2" t="str">
        <f>IF(I$1&gt;$Z$4,"-",IF(COUNTIF($D$3:$D137,I$2)=$Z$3,"Full",SUMIFS($C$3:$C137,$D$3:$D137,I$2)))</f>
        <v>-</v>
      </c>
      <c r="J137" s="2" t="str">
        <f>IF(J$1&gt;$Z$4,"-",IF(COUNTIF($D$3:$D137,J$2)=$Z$3,"Full",SUMIFS($C$3:$C137,$D$3:$D137,J$2)))</f>
        <v>-</v>
      </c>
      <c r="K137" s="2" t="str">
        <f>IF(K$1&gt;$Z$4,"-",IF(COUNTIF($D$3:$D137,K$2)=$Z$3,"Full",SUMIFS($C$3:$C137,$D$3:$D137,K$2)))</f>
        <v>-</v>
      </c>
      <c r="L137" s="2" t="str">
        <f>IF(L$1&gt;$Z$4,"-",IF(COUNTIF($D$3:$D137,L$2)=$Z$3,"Full",SUMIFS($C$3:$C137,$D$3:$D137,L$2)))</f>
        <v>-</v>
      </c>
      <c r="M137" s="2" t="str">
        <f>IF(M$1&gt;$Z$4,"-",IF(COUNTIF($D$3:$D137,M$2)=$Z$3,"Full",SUMIFS($C$3:$C137,$D$3:$D137,M$2)))</f>
        <v>-</v>
      </c>
      <c r="N137" s="2" t="str">
        <f>IF(N$1&gt;$Z$4,"-",IF(COUNTIF($D$3:$D137,N$2)=$Z$3,"Full",SUMIFS($C$3:$C137,$D$3:$D137,N$2)))</f>
        <v>-</v>
      </c>
      <c r="O137" s="2" t="str">
        <f>IF(O$1&gt;$Z$4,"-",IF(COUNTIF($D$3:$D137,O$2)=$Z$3,"Full",SUMIFS($C$3:$C137,$D$3:$D137,O$2)))</f>
        <v>-</v>
      </c>
      <c r="P137" s="2" t="str">
        <f>IF(P$1&gt;$Z$4,"-",IF(COUNTIF($D$3:$D137,P$2)=$Z$3,"Full",SUMIFS($C$3:$C137,$D$3:$D137,P$2)))</f>
        <v>-</v>
      </c>
      <c r="Q137" s="2" t="str">
        <f>IF(Q$1&gt;$Z$4,"-",IF(COUNTIF($D$3:$D137,Q$2)=$Z$3,"Full",SUMIFS($C$3:$C137,$D$3:$D137,Q$2)))</f>
        <v>-</v>
      </c>
      <c r="R137" s="2" t="str">
        <f>IF(R$1&gt;$Z$4,"-",IF(COUNTIF($D$3:$D137,R$2)=$Z$3,"Full",SUMIFS($C$3:$C137,$D$3:$D137,R$2)))</f>
        <v>-</v>
      </c>
      <c r="S137" s="2" t="str">
        <f>IF(S$1&gt;$Z$4,"-",IF(COUNTIF($D$3:$D137,S$2)=$Z$3,"Full",SUMIFS($C$3:$C137,$D$3:$D137,S$2)))</f>
        <v>-</v>
      </c>
      <c r="T137" s="11" t="str">
        <f>IF(T$1&gt;$Z$4,"-",IF(COUNTIF($D$3:$D137,T$2)=$Z$3,"Full",SUMIFS($C$3:$C137,$D$3:$D137,T$2)))</f>
        <v>-</v>
      </c>
    </row>
    <row r="138" spans="1:20" x14ac:dyDescent="0.25">
      <c r="A138" s="10" t="str">
        <f t="shared" si="155"/>
        <v/>
      </c>
      <c r="D138" s="2" t="str" cm="1">
        <f t="array" aca="1" ref="D138" ca="1">IFERROR(_xlfn.XLOOKUP(MIN(E137:INDIRECT($AA$4&amp;A138+1)),E137:INDIRECT($AA$4&amp;A138+1),$E$2:INDIRECT($AA$4&amp;"$2")),"-")</f>
        <v>-</v>
      </c>
      <c r="E138" s="2" t="str">
        <f ca="1">IF(E$1&gt;$Z$4,"-",IF(COUNTIF($D$3:$D138,E$2)=$Z$3,"Full",SUMIFS($C$3:$C138,$D$3:$D138,E$2)))</f>
        <v>Full</v>
      </c>
      <c r="F138" s="2" t="str">
        <f>IF(F$1&gt;$Z$4,"-",IF(COUNTIF($D$3:$D138,F$2)=$Z$3,"Full",SUMIFS($C$3:$C138,$D$3:$D138,F$2)))</f>
        <v>-</v>
      </c>
      <c r="G138" s="2" t="str">
        <f>IF(G$1&gt;$Z$4,"-",IF(COUNTIF($D$3:$D138,G$2)=$Z$3,"Full",SUMIFS($C$3:$C138,$D$3:$D138,G$2)))</f>
        <v>-</v>
      </c>
      <c r="H138" s="2" t="str">
        <f>IF(H$1&gt;$Z$4,"-",IF(COUNTIF($D$3:$D138,H$2)=$Z$3,"Full",SUMIFS($C$3:$C138,$D$3:$D138,H$2)))</f>
        <v>-</v>
      </c>
      <c r="I138" s="2" t="str">
        <f>IF(I$1&gt;$Z$4,"-",IF(COUNTIF($D$3:$D138,I$2)=$Z$3,"Full",SUMIFS($C$3:$C138,$D$3:$D138,I$2)))</f>
        <v>-</v>
      </c>
      <c r="J138" s="2" t="str">
        <f>IF(J$1&gt;$Z$4,"-",IF(COUNTIF($D$3:$D138,J$2)=$Z$3,"Full",SUMIFS($C$3:$C138,$D$3:$D138,J$2)))</f>
        <v>-</v>
      </c>
      <c r="K138" s="2" t="str">
        <f>IF(K$1&gt;$Z$4,"-",IF(COUNTIF($D$3:$D138,K$2)=$Z$3,"Full",SUMIFS($C$3:$C138,$D$3:$D138,K$2)))</f>
        <v>-</v>
      </c>
      <c r="L138" s="2" t="str">
        <f>IF(L$1&gt;$Z$4,"-",IF(COUNTIF($D$3:$D138,L$2)=$Z$3,"Full",SUMIFS($C$3:$C138,$D$3:$D138,L$2)))</f>
        <v>-</v>
      </c>
      <c r="M138" s="2" t="str">
        <f>IF(M$1&gt;$Z$4,"-",IF(COUNTIF($D$3:$D138,M$2)=$Z$3,"Full",SUMIFS($C$3:$C138,$D$3:$D138,M$2)))</f>
        <v>-</v>
      </c>
      <c r="N138" s="2" t="str">
        <f>IF(N$1&gt;$Z$4,"-",IF(COUNTIF($D$3:$D138,N$2)=$Z$3,"Full",SUMIFS($C$3:$C138,$D$3:$D138,N$2)))</f>
        <v>-</v>
      </c>
      <c r="O138" s="2" t="str">
        <f>IF(O$1&gt;$Z$4,"-",IF(COUNTIF($D$3:$D138,O$2)=$Z$3,"Full",SUMIFS($C$3:$C138,$D$3:$D138,O$2)))</f>
        <v>-</v>
      </c>
      <c r="P138" s="2" t="str">
        <f>IF(P$1&gt;$Z$4,"-",IF(COUNTIF($D$3:$D138,P$2)=$Z$3,"Full",SUMIFS($C$3:$C138,$D$3:$D138,P$2)))</f>
        <v>-</v>
      </c>
      <c r="Q138" s="2" t="str">
        <f>IF(Q$1&gt;$Z$4,"-",IF(COUNTIF($D$3:$D138,Q$2)=$Z$3,"Full",SUMIFS($C$3:$C138,$D$3:$D138,Q$2)))</f>
        <v>-</v>
      </c>
      <c r="R138" s="2" t="str">
        <f>IF(R$1&gt;$Z$4,"-",IF(COUNTIF($D$3:$D138,R$2)=$Z$3,"Full",SUMIFS($C$3:$C138,$D$3:$D138,R$2)))</f>
        <v>-</v>
      </c>
      <c r="S138" s="2" t="str">
        <f>IF(S$1&gt;$Z$4,"-",IF(COUNTIF($D$3:$D138,S$2)=$Z$3,"Full",SUMIFS($C$3:$C138,$D$3:$D138,S$2)))</f>
        <v>-</v>
      </c>
      <c r="T138" s="11" t="str">
        <f>IF(T$1&gt;$Z$4,"-",IF(COUNTIF($D$3:$D138,T$2)=$Z$3,"Full",SUMIFS($C$3:$C138,$D$3:$D138,T$2)))</f>
        <v>-</v>
      </c>
    </row>
    <row r="139" spans="1:20" x14ac:dyDescent="0.25">
      <c r="A139" s="10" t="str">
        <f t="shared" si="155"/>
        <v/>
      </c>
      <c r="D139" s="2" t="str" cm="1">
        <f t="array" aca="1" ref="D139" ca="1">IFERROR(_xlfn.XLOOKUP(MIN(E138:INDIRECT($AA$4&amp;A139+1)),E138:INDIRECT($AA$4&amp;A139+1),$E$2:INDIRECT($AA$4&amp;"$2")),"-")</f>
        <v>-</v>
      </c>
      <c r="E139" s="2" t="str">
        <f ca="1">IF(E$1&gt;$Z$4,"-",IF(COUNTIF($D$3:$D139,E$2)=$Z$3,"Full",SUMIFS($C$3:$C139,$D$3:$D139,E$2)))</f>
        <v>Full</v>
      </c>
      <c r="F139" s="2" t="str">
        <f>IF(F$1&gt;$Z$4,"-",IF(COUNTIF($D$3:$D139,F$2)=$Z$3,"Full",SUMIFS($C$3:$C139,$D$3:$D139,F$2)))</f>
        <v>-</v>
      </c>
      <c r="G139" s="2" t="str">
        <f>IF(G$1&gt;$Z$4,"-",IF(COUNTIF($D$3:$D139,G$2)=$Z$3,"Full",SUMIFS($C$3:$C139,$D$3:$D139,G$2)))</f>
        <v>-</v>
      </c>
      <c r="H139" s="2" t="str">
        <f>IF(H$1&gt;$Z$4,"-",IF(COUNTIF($D$3:$D139,H$2)=$Z$3,"Full",SUMIFS($C$3:$C139,$D$3:$D139,H$2)))</f>
        <v>-</v>
      </c>
      <c r="I139" s="2" t="str">
        <f>IF(I$1&gt;$Z$4,"-",IF(COUNTIF($D$3:$D139,I$2)=$Z$3,"Full",SUMIFS($C$3:$C139,$D$3:$D139,I$2)))</f>
        <v>-</v>
      </c>
      <c r="J139" s="2" t="str">
        <f>IF(J$1&gt;$Z$4,"-",IF(COUNTIF($D$3:$D139,J$2)=$Z$3,"Full",SUMIFS($C$3:$C139,$D$3:$D139,J$2)))</f>
        <v>-</v>
      </c>
      <c r="K139" s="2" t="str">
        <f>IF(K$1&gt;$Z$4,"-",IF(COUNTIF($D$3:$D139,K$2)=$Z$3,"Full",SUMIFS($C$3:$C139,$D$3:$D139,K$2)))</f>
        <v>-</v>
      </c>
      <c r="L139" s="2" t="str">
        <f>IF(L$1&gt;$Z$4,"-",IF(COUNTIF($D$3:$D139,L$2)=$Z$3,"Full",SUMIFS($C$3:$C139,$D$3:$D139,L$2)))</f>
        <v>-</v>
      </c>
      <c r="M139" s="2" t="str">
        <f>IF(M$1&gt;$Z$4,"-",IF(COUNTIF($D$3:$D139,M$2)=$Z$3,"Full",SUMIFS($C$3:$C139,$D$3:$D139,M$2)))</f>
        <v>-</v>
      </c>
      <c r="N139" s="2" t="str">
        <f>IF(N$1&gt;$Z$4,"-",IF(COUNTIF($D$3:$D139,N$2)=$Z$3,"Full",SUMIFS($C$3:$C139,$D$3:$D139,N$2)))</f>
        <v>-</v>
      </c>
      <c r="O139" s="2" t="str">
        <f>IF(O$1&gt;$Z$4,"-",IF(COUNTIF($D$3:$D139,O$2)=$Z$3,"Full",SUMIFS($C$3:$C139,$D$3:$D139,O$2)))</f>
        <v>-</v>
      </c>
      <c r="P139" s="2" t="str">
        <f>IF(P$1&gt;$Z$4,"-",IF(COUNTIF($D$3:$D139,P$2)=$Z$3,"Full",SUMIFS($C$3:$C139,$D$3:$D139,P$2)))</f>
        <v>-</v>
      </c>
      <c r="Q139" s="2" t="str">
        <f>IF(Q$1&gt;$Z$4,"-",IF(COUNTIF($D$3:$D139,Q$2)=$Z$3,"Full",SUMIFS($C$3:$C139,$D$3:$D139,Q$2)))</f>
        <v>-</v>
      </c>
      <c r="R139" s="2" t="str">
        <f>IF(R$1&gt;$Z$4,"-",IF(COUNTIF($D$3:$D139,R$2)=$Z$3,"Full",SUMIFS($C$3:$C139,$D$3:$D139,R$2)))</f>
        <v>-</v>
      </c>
      <c r="S139" s="2" t="str">
        <f>IF(S$1&gt;$Z$4,"-",IF(COUNTIF($D$3:$D139,S$2)=$Z$3,"Full",SUMIFS($C$3:$C139,$D$3:$D139,S$2)))</f>
        <v>-</v>
      </c>
      <c r="T139" s="11" t="str">
        <f>IF(T$1&gt;$Z$4,"-",IF(COUNTIF($D$3:$D139,T$2)=$Z$3,"Full",SUMIFS($C$3:$C139,$D$3:$D139,T$2)))</f>
        <v>-</v>
      </c>
    </row>
    <row r="140" spans="1:20" x14ac:dyDescent="0.25">
      <c r="A140" s="10" t="str">
        <f t="shared" si="155"/>
        <v/>
      </c>
      <c r="D140" s="2" t="str" cm="1">
        <f t="array" aca="1" ref="D140" ca="1">IFERROR(_xlfn.XLOOKUP(MIN(E139:INDIRECT($AA$4&amp;A140+1)),E139:INDIRECT($AA$4&amp;A140+1),$E$2:INDIRECT($AA$4&amp;"$2")),"-")</f>
        <v>-</v>
      </c>
      <c r="E140" s="2" t="str">
        <f ca="1">IF(E$1&gt;$Z$4,"-",IF(COUNTIF($D$3:$D140,E$2)=$Z$3,"Full",SUMIFS($C$3:$C140,$D$3:$D140,E$2)))</f>
        <v>Full</v>
      </c>
      <c r="F140" s="2" t="str">
        <f>IF(F$1&gt;$Z$4,"-",IF(COUNTIF($D$3:$D140,F$2)=$Z$3,"Full",SUMIFS($C$3:$C140,$D$3:$D140,F$2)))</f>
        <v>-</v>
      </c>
      <c r="G140" s="2" t="str">
        <f>IF(G$1&gt;$Z$4,"-",IF(COUNTIF($D$3:$D140,G$2)=$Z$3,"Full",SUMIFS($C$3:$C140,$D$3:$D140,G$2)))</f>
        <v>-</v>
      </c>
      <c r="H140" s="2" t="str">
        <f>IF(H$1&gt;$Z$4,"-",IF(COUNTIF($D$3:$D140,H$2)=$Z$3,"Full",SUMIFS($C$3:$C140,$D$3:$D140,H$2)))</f>
        <v>-</v>
      </c>
      <c r="I140" s="2" t="str">
        <f>IF(I$1&gt;$Z$4,"-",IF(COUNTIF($D$3:$D140,I$2)=$Z$3,"Full",SUMIFS($C$3:$C140,$D$3:$D140,I$2)))</f>
        <v>-</v>
      </c>
      <c r="J140" s="2" t="str">
        <f>IF(J$1&gt;$Z$4,"-",IF(COUNTIF($D$3:$D140,J$2)=$Z$3,"Full",SUMIFS($C$3:$C140,$D$3:$D140,J$2)))</f>
        <v>-</v>
      </c>
      <c r="K140" s="2" t="str">
        <f>IF(K$1&gt;$Z$4,"-",IF(COUNTIF($D$3:$D140,K$2)=$Z$3,"Full",SUMIFS($C$3:$C140,$D$3:$D140,K$2)))</f>
        <v>-</v>
      </c>
      <c r="L140" s="2" t="str">
        <f>IF(L$1&gt;$Z$4,"-",IF(COUNTIF($D$3:$D140,L$2)=$Z$3,"Full",SUMIFS($C$3:$C140,$D$3:$D140,L$2)))</f>
        <v>-</v>
      </c>
      <c r="M140" s="2" t="str">
        <f>IF(M$1&gt;$Z$4,"-",IF(COUNTIF($D$3:$D140,M$2)=$Z$3,"Full",SUMIFS($C$3:$C140,$D$3:$D140,M$2)))</f>
        <v>-</v>
      </c>
      <c r="N140" s="2" t="str">
        <f>IF(N$1&gt;$Z$4,"-",IF(COUNTIF($D$3:$D140,N$2)=$Z$3,"Full",SUMIFS($C$3:$C140,$D$3:$D140,N$2)))</f>
        <v>-</v>
      </c>
      <c r="O140" s="2" t="str">
        <f>IF(O$1&gt;$Z$4,"-",IF(COUNTIF($D$3:$D140,O$2)=$Z$3,"Full",SUMIFS($C$3:$C140,$D$3:$D140,O$2)))</f>
        <v>-</v>
      </c>
      <c r="P140" s="2" t="str">
        <f>IF(P$1&gt;$Z$4,"-",IF(COUNTIF($D$3:$D140,P$2)=$Z$3,"Full",SUMIFS($C$3:$C140,$D$3:$D140,P$2)))</f>
        <v>-</v>
      </c>
      <c r="Q140" s="2" t="str">
        <f>IF(Q$1&gt;$Z$4,"-",IF(COUNTIF($D$3:$D140,Q$2)=$Z$3,"Full",SUMIFS($C$3:$C140,$D$3:$D140,Q$2)))</f>
        <v>-</v>
      </c>
      <c r="R140" s="2" t="str">
        <f>IF(R$1&gt;$Z$4,"-",IF(COUNTIF($D$3:$D140,R$2)=$Z$3,"Full",SUMIFS($C$3:$C140,$D$3:$D140,R$2)))</f>
        <v>-</v>
      </c>
      <c r="S140" s="2" t="str">
        <f>IF(S$1&gt;$Z$4,"-",IF(COUNTIF($D$3:$D140,S$2)=$Z$3,"Full",SUMIFS($C$3:$C140,$D$3:$D140,S$2)))</f>
        <v>-</v>
      </c>
      <c r="T140" s="11" t="str">
        <f>IF(T$1&gt;$Z$4,"-",IF(COUNTIF($D$3:$D140,T$2)=$Z$3,"Full",SUMIFS($C$3:$C140,$D$3:$D140,T$2)))</f>
        <v>-</v>
      </c>
    </row>
    <row r="141" spans="1:20" x14ac:dyDescent="0.25">
      <c r="A141" s="10" t="str">
        <f t="shared" si="155"/>
        <v/>
      </c>
      <c r="D141" s="2" t="str" cm="1">
        <f t="array" aca="1" ref="D141" ca="1">IFERROR(_xlfn.XLOOKUP(MIN(E140:INDIRECT($AA$4&amp;A141+1)),E140:INDIRECT($AA$4&amp;A141+1),$E$2:INDIRECT($AA$4&amp;"$2")),"-")</f>
        <v>-</v>
      </c>
      <c r="E141" s="2" t="str">
        <f ca="1">IF(E$1&gt;$Z$4,"-",IF(COUNTIF($D$3:$D141,E$2)=$Z$3,"Full",SUMIFS($C$3:$C141,$D$3:$D141,E$2)))</f>
        <v>Full</v>
      </c>
      <c r="F141" s="2" t="str">
        <f>IF(F$1&gt;$Z$4,"-",IF(COUNTIF($D$3:$D141,F$2)=$Z$3,"Full",SUMIFS($C$3:$C141,$D$3:$D141,F$2)))</f>
        <v>-</v>
      </c>
      <c r="G141" s="2" t="str">
        <f>IF(G$1&gt;$Z$4,"-",IF(COUNTIF($D$3:$D141,G$2)=$Z$3,"Full",SUMIFS($C$3:$C141,$D$3:$D141,G$2)))</f>
        <v>-</v>
      </c>
      <c r="H141" s="2" t="str">
        <f>IF(H$1&gt;$Z$4,"-",IF(COUNTIF($D$3:$D141,H$2)=$Z$3,"Full",SUMIFS($C$3:$C141,$D$3:$D141,H$2)))</f>
        <v>-</v>
      </c>
      <c r="I141" s="2" t="str">
        <f>IF(I$1&gt;$Z$4,"-",IF(COUNTIF($D$3:$D141,I$2)=$Z$3,"Full",SUMIFS($C$3:$C141,$D$3:$D141,I$2)))</f>
        <v>-</v>
      </c>
      <c r="J141" s="2" t="str">
        <f>IF(J$1&gt;$Z$4,"-",IF(COUNTIF($D$3:$D141,J$2)=$Z$3,"Full",SUMIFS($C$3:$C141,$D$3:$D141,J$2)))</f>
        <v>-</v>
      </c>
      <c r="K141" s="2" t="str">
        <f>IF(K$1&gt;$Z$4,"-",IF(COUNTIF($D$3:$D141,K$2)=$Z$3,"Full",SUMIFS($C$3:$C141,$D$3:$D141,K$2)))</f>
        <v>-</v>
      </c>
      <c r="L141" s="2" t="str">
        <f>IF(L$1&gt;$Z$4,"-",IF(COUNTIF($D$3:$D141,L$2)=$Z$3,"Full",SUMIFS($C$3:$C141,$D$3:$D141,L$2)))</f>
        <v>-</v>
      </c>
      <c r="M141" s="2" t="str">
        <f>IF(M$1&gt;$Z$4,"-",IF(COUNTIF($D$3:$D141,M$2)=$Z$3,"Full",SUMIFS($C$3:$C141,$D$3:$D141,M$2)))</f>
        <v>-</v>
      </c>
      <c r="N141" s="2" t="str">
        <f>IF(N$1&gt;$Z$4,"-",IF(COUNTIF($D$3:$D141,N$2)=$Z$3,"Full",SUMIFS($C$3:$C141,$D$3:$D141,N$2)))</f>
        <v>-</v>
      </c>
      <c r="O141" s="2" t="str">
        <f>IF(O$1&gt;$Z$4,"-",IF(COUNTIF($D$3:$D141,O$2)=$Z$3,"Full",SUMIFS($C$3:$C141,$D$3:$D141,O$2)))</f>
        <v>-</v>
      </c>
      <c r="P141" s="2" t="str">
        <f>IF(P$1&gt;$Z$4,"-",IF(COUNTIF($D$3:$D141,P$2)=$Z$3,"Full",SUMIFS($C$3:$C141,$D$3:$D141,P$2)))</f>
        <v>-</v>
      </c>
      <c r="Q141" s="2" t="str">
        <f>IF(Q$1&gt;$Z$4,"-",IF(COUNTIF($D$3:$D141,Q$2)=$Z$3,"Full",SUMIFS($C$3:$C141,$D$3:$D141,Q$2)))</f>
        <v>-</v>
      </c>
      <c r="R141" s="2" t="str">
        <f>IF(R$1&gt;$Z$4,"-",IF(COUNTIF($D$3:$D141,R$2)=$Z$3,"Full",SUMIFS($C$3:$C141,$D$3:$D141,R$2)))</f>
        <v>-</v>
      </c>
      <c r="S141" s="2" t="str">
        <f>IF(S$1&gt;$Z$4,"-",IF(COUNTIF($D$3:$D141,S$2)=$Z$3,"Full",SUMIFS($C$3:$C141,$D$3:$D141,S$2)))</f>
        <v>-</v>
      </c>
      <c r="T141" s="11" t="str">
        <f>IF(T$1&gt;$Z$4,"-",IF(COUNTIF($D$3:$D141,T$2)=$Z$3,"Full",SUMIFS($C$3:$C141,$D$3:$D141,T$2)))</f>
        <v>-</v>
      </c>
    </row>
    <row r="142" spans="1:20" x14ac:dyDescent="0.25">
      <c r="A142" s="10" t="str">
        <f t="shared" si="155"/>
        <v/>
      </c>
      <c r="D142" s="2" t="str" cm="1">
        <f t="array" aca="1" ref="D142" ca="1">IFERROR(_xlfn.XLOOKUP(MIN(E141:INDIRECT($AA$4&amp;A142+1)),E141:INDIRECT($AA$4&amp;A142+1),$E$2:INDIRECT($AA$4&amp;"$2")),"-")</f>
        <v>-</v>
      </c>
      <c r="E142" s="2" t="str">
        <f ca="1">IF(E$1&gt;$Z$4,"-",IF(COUNTIF($D$3:$D142,E$2)=$Z$3,"Full",SUMIFS($C$3:$C142,$D$3:$D142,E$2)))</f>
        <v>Full</v>
      </c>
      <c r="F142" s="2" t="str">
        <f>IF(F$1&gt;$Z$4,"-",IF(COUNTIF($D$3:$D142,F$2)=$Z$3,"Full",SUMIFS($C$3:$C142,$D$3:$D142,F$2)))</f>
        <v>-</v>
      </c>
      <c r="G142" s="2" t="str">
        <f>IF(G$1&gt;$Z$4,"-",IF(COUNTIF($D$3:$D142,G$2)=$Z$3,"Full",SUMIFS($C$3:$C142,$D$3:$D142,G$2)))</f>
        <v>-</v>
      </c>
      <c r="H142" s="2" t="str">
        <f>IF(H$1&gt;$Z$4,"-",IF(COUNTIF($D$3:$D142,H$2)=$Z$3,"Full",SUMIFS($C$3:$C142,$D$3:$D142,H$2)))</f>
        <v>-</v>
      </c>
      <c r="I142" s="2" t="str">
        <f>IF(I$1&gt;$Z$4,"-",IF(COUNTIF($D$3:$D142,I$2)=$Z$3,"Full",SUMIFS($C$3:$C142,$D$3:$D142,I$2)))</f>
        <v>-</v>
      </c>
      <c r="J142" s="2" t="str">
        <f>IF(J$1&gt;$Z$4,"-",IF(COUNTIF($D$3:$D142,J$2)=$Z$3,"Full",SUMIFS($C$3:$C142,$D$3:$D142,J$2)))</f>
        <v>-</v>
      </c>
      <c r="K142" s="2" t="str">
        <f>IF(K$1&gt;$Z$4,"-",IF(COUNTIF($D$3:$D142,K$2)=$Z$3,"Full",SUMIFS($C$3:$C142,$D$3:$D142,K$2)))</f>
        <v>-</v>
      </c>
      <c r="L142" s="2" t="str">
        <f>IF(L$1&gt;$Z$4,"-",IF(COUNTIF($D$3:$D142,L$2)=$Z$3,"Full",SUMIFS($C$3:$C142,$D$3:$D142,L$2)))</f>
        <v>-</v>
      </c>
      <c r="M142" s="2" t="str">
        <f>IF(M$1&gt;$Z$4,"-",IF(COUNTIF($D$3:$D142,M$2)=$Z$3,"Full",SUMIFS($C$3:$C142,$D$3:$D142,M$2)))</f>
        <v>-</v>
      </c>
      <c r="N142" s="2" t="str">
        <f>IF(N$1&gt;$Z$4,"-",IF(COUNTIF($D$3:$D142,N$2)=$Z$3,"Full",SUMIFS($C$3:$C142,$D$3:$D142,N$2)))</f>
        <v>-</v>
      </c>
      <c r="O142" s="2" t="str">
        <f>IF(O$1&gt;$Z$4,"-",IF(COUNTIF($D$3:$D142,O$2)=$Z$3,"Full",SUMIFS($C$3:$C142,$D$3:$D142,O$2)))</f>
        <v>-</v>
      </c>
      <c r="P142" s="2" t="str">
        <f>IF(P$1&gt;$Z$4,"-",IF(COUNTIF($D$3:$D142,P$2)=$Z$3,"Full",SUMIFS($C$3:$C142,$D$3:$D142,P$2)))</f>
        <v>-</v>
      </c>
      <c r="Q142" s="2" t="str">
        <f>IF(Q$1&gt;$Z$4,"-",IF(COUNTIF($D$3:$D142,Q$2)=$Z$3,"Full",SUMIFS($C$3:$C142,$D$3:$D142,Q$2)))</f>
        <v>-</v>
      </c>
      <c r="R142" s="2" t="str">
        <f>IF(R$1&gt;$Z$4,"-",IF(COUNTIF($D$3:$D142,R$2)=$Z$3,"Full",SUMIFS($C$3:$C142,$D$3:$D142,R$2)))</f>
        <v>-</v>
      </c>
      <c r="S142" s="2" t="str">
        <f>IF(S$1&gt;$Z$4,"-",IF(COUNTIF($D$3:$D142,S$2)=$Z$3,"Full",SUMIFS($C$3:$C142,$D$3:$D142,S$2)))</f>
        <v>-</v>
      </c>
      <c r="T142" s="11" t="str">
        <f>IF(T$1&gt;$Z$4,"-",IF(COUNTIF($D$3:$D142,T$2)=$Z$3,"Full",SUMIFS($C$3:$C142,$D$3:$D142,T$2)))</f>
        <v>-</v>
      </c>
    </row>
    <row r="143" spans="1:20" x14ac:dyDescent="0.25">
      <c r="A143" s="10" t="str">
        <f t="shared" si="155"/>
        <v/>
      </c>
      <c r="D143" s="2" t="str" cm="1">
        <f t="array" aca="1" ref="D143" ca="1">IFERROR(_xlfn.XLOOKUP(MIN(E142:INDIRECT($AA$4&amp;A143+1)),E142:INDIRECT($AA$4&amp;A143+1),$E$2:INDIRECT($AA$4&amp;"$2")),"-")</f>
        <v>-</v>
      </c>
      <c r="E143" s="2" t="str">
        <f ca="1">IF(E$1&gt;$Z$4,"-",IF(COUNTIF($D$3:$D143,E$2)=$Z$3,"Full",SUMIFS($C$3:$C143,$D$3:$D143,E$2)))</f>
        <v>Full</v>
      </c>
      <c r="F143" s="2" t="str">
        <f>IF(F$1&gt;$Z$4,"-",IF(COUNTIF($D$3:$D143,F$2)=$Z$3,"Full",SUMIFS($C$3:$C143,$D$3:$D143,F$2)))</f>
        <v>-</v>
      </c>
      <c r="G143" s="2" t="str">
        <f>IF(G$1&gt;$Z$4,"-",IF(COUNTIF($D$3:$D143,G$2)=$Z$3,"Full",SUMIFS($C$3:$C143,$D$3:$D143,G$2)))</f>
        <v>-</v>
      </c>
      <c r="H143" s="2" t="str">
        <f>IF(H$1&gt;$Z$4,"-",IF(COUNTIF($D$3:$D143,H$2)=$Z$3,"Full",SUMIFS($C$3:$C143,$D$3:$D143,H$2)))</f>
        <v>-</v>
      </c>
      <c r="I143" s="2" t="str">
        <f>IF(I$1&gt;$Z$4,"-",IF(COUNTIF($D$3:$D143,I$2)=$Z$3,"Full",SUMIFS($C$3:$C143,$D$3:$D143,I$2)))</f>
        <v>-</v>
      </c>
      <c r="J143" s="2" t="str">
        <f>IF(J$1&gt;$Z$4,"-",IF(COUNTIF($D$3:$D143,J$2)=$Z$3,"Full",SUMIFS($C$3:$C143,$D$3:$D143,J$2)))</f>
        <v>-</v>
      </c>
      <c r="K143" s="2" t="str">
        <f>IF(K$1&gt;$Z$4,"-",IF(COUNTIF($D$3:$D143,K$2)=$Z$3,"Full",SUMIFS($C$3:$C143,$D$3:$D143,K$2)))</f>
        <v>-</v>
      </c>
      <c r="L143" s="2" t="str">
        <f>IF(L$1&gt;$Z$4,"-",IF(COUNTIF($D$3:$D143,L$2)=$Z$3,"Full",SUMIFS($C$3:$C143,$D$3:$D143,L$2)))</f>
        <v>-</v>
      </c>
      <c r="M143" s="2" t="str">
        <f>IF(M$1&gt;$Z$4,"-",IF(COUNTIF($D$3:$D143,M$2)=$Z$3,"Full",SUMIFS($C$3:$C143,$D$3:$D143,M$2)))</f>
        <v>-</v>
      </c>
      <c r="N143" s="2" t="str">
        <f>IF(N$1&gt;$Z$4,"-",IF(COUNTIF($D$3:$D143,N$2)=$Z$3,"Full",SUMIFS($C$3:$C143,$D$3:$D143,N$2)))</f>
        <v>-</v>
      </c>
      <c r="O143" s="2" t="str">
        <f>IF(O$1&gt;$Z$4,"-",IF(COUNTIF($D$3:$D143,O$2)=$Z$3,"Full",SUMIFS($C$3:$C143,$D$3:$D143,O$2)))</f>
        <v>-</v>
      </c>
      <c r="P143" s="2" t="str">
        <f>IF(P$1&gt;$Z$4,"-",IF(COUNTIF($D$3:$D143,P$2)=$Z$3,"Full",SUMIFS($C$3:$C143,$D$3:$D143,P$2)))</f>
        <v>-</v>
      </c>
      <c r="Q143" s="2" t="str">
        <f>IF(Q$1&gt;$Z$4,"-",IF(COUNTIF($D$3:$D143,Q$2)=$Z$3,"Full",SUMIFS($C$3:$C143,$D$3:$D143,Q$2)))</f>
        <v>-</v>
      </c>
      <c r="R143" s="2" t="str">
        <f>IF(R$1&gt;$Z$4,"-",IF(COUNTIF($D$3:$D143,R$2)=$Z$3,"Full",SUMIFS($C$3:$C143,$D$3:$D143,R$2)))</f>
        <v>-</v>
      </c>
      <c r="S143" s="2" t="str">
        <f>IF(S$1&gt;$Z$4,"-",IF(COUNTIF($D$3:$D143,S$2)=$Z$3,"Full",SUMIFS($C$3:$C143,$D$3:$D143,S$2)))</f>
        <v>-</v>
      </c>
      <c r="T143" s="11" t="str">
        <f>IF(T$1&gt;$Z$4,"-",IF(COUNTIF($D$3:$D143,T$2)=$Z$3,"Full",SUMIFS($C$3:$C143,$D$3:$D143,T$2)))</f>
        <v>-</v>
      </c>
    </row>
    <row r="144" spans="1:20" x14ac:dyDescent="0.25">
      <c r="A144" s="10" t="str">
        <f t="shared" si="155"/>
        <v/>
      </c>
      <c r="D144" s="2" t="str" cm="1">
        <f t="array" aca="1" ref="D144" ca="1">IFERROR(_xlfn.XLOOKUP(MIN(E143:INDIRECT($AA$4&amp;A144+1)),E143:INDIRECT($AA$4&amp;A144+1),$E$2:INDIRECT($AA$4&amp;"$2")),"-")</f>
        <v>-</v>
      </c>
      <c r="E144" s="2" t="str">
        <f ca="1">IF(E$1&gt;$Z$4,"-",IF(COUNTIF($D$3:$D144,E$2)=$Z$3,"Full",SUMIFS($C$3:$C144,$D$3:$D144,E$2)))</f>
        <v>Full</v>
      </c>
      <c r="F144" s="2" t="str">
        <f>IF(F$1&gt;$Z$4,"-",IF(COUNTIF($D$3:$D144,F$2)=$Z$3,"Full",SUMIFS($C$3:$C144,$D$3:$D144,F$2)))</f>
        <v>-</v>
      </c>
      <c r="G144" s="2" t="str">
        <f>IF(G$1&gt;$Z$4,"-",IF(COUNTIF($D$3:$D144,G$2)=$Z$3,"Full",SUMIFS($C$3:$C144,$D$3:$D144,G$2)))</f>
        <v>-</v>
      </c>
      <c r="H144" s="2" t="str">
        <f>IF(H$1&gt;$Z$4,"-",IF(COUNTIF($D$3:$D144,H$2)=$Z$3,"Full",SUMIFS($C$3:$C144,$D$3:$D144,H$2)))</f>
        <v>-</v>
      </c>
      <c r="I144" s="2" t="str">
        <f>IF(I$1&gt;$Z$4,"-",IF(COUNTIF($D$3:$D144,I$2)=$Z$3,"Full",SUMIFS($C$3:$C144,$D$3:$D144,I$2)))</f>
        <v>-</v>
      </c>
      <c r="J144" s="2" t="str">
        <f>IF(J$1&gt;$Z$4,"-",IF(COUNTIF($D$3:$D144,J$2)=$Z$3,"Full",SUMIFS($C$3:$C144,$D$3:$D144,J$2)))</f>
        <v>-</v>
      </c>
      <c r="K144" s="2" t="str">
        <f>IF(K$1&gt;$Z$4,"-",IF(COUNTIF($D$3:$D144,K$2)=$Z$3,"Full",SUMIFS($C$3:$C144,$D$3:$D144,K$2)))</f>
        <v>-</v>
      </c>
      <c r="L144" s="2" t="str">
        <f>IF(L$1&gt;$Z$4,"-",IF(COUNTIF($D$3:$D144,L$2)=$Z$3,"Full",SUMIFS($C$3:$C144,$D$3:$D144,L$2)))</f>
        <v>-</v>
      </c>
      <c r="M144" s="2" t="str">
        <f>IF(M$1&gt;$Z$4,"-",IF(COUNTIF($D$3:$D144,M$2)=$Z$3,"Full",SUMIFS($C$3:$C144,$D$3:$D144,M$2)))</f>
        <v>-</v>
      </c>
      <c r="N144" s="2" t="str">
        <f>IF(N$1&gt;$Z$4,"-",IF(COUNTIF($D$3:$D144,N$2)=$Z$3,"Full",SUMIFS($C$3:$C144,$D$3:$D144,N$2)))</f>
        <v>-</v>
      </c>
      <c r="O144" s="2" t="str">
        <f>IF(O$1&gt;$Z$4,"-",IF(COUNTIF($D$3:$D144,O$2)=$Z$3,"Full",SUMIFS($C$3:$C144,$D$3:$D144,O$2)))</f>
        <v>-</v>
      </c>
      <c r="P144" s="2" t="str">
        <f>IF(P$1&gt;$Z$4,"-",IF(COUNTIF($D$3:$D144,P$2)=$Z$3,"Full",SUMIFS($C$3:$C144,$D$3:$D144,P$2)))</f>
        <v>-</v>
      </c>
      <c r="Q144" s="2" t="str">
        <f>IF(Q$1&gt;$Z$4,"-",IF(COUNTIF($D$3:$D144,Q$2)=$Z$3,"Full",SUMIFS($C$3:$C144,$D$3:$D144,Q$2)))</f>
        <v>-</v>
      </c>
      <c r="R144" s="2" t="str">
        <f>IF(R$1&gt;$Z$4,"-",IF(COUNTIF($D$3:$D144,R$2)=$Z$3,"Full",SUMIFS($C$3:$C144,$D$3:$D144,R$2)))</f>
        <v>-</v>
      </c>
      <c r="S144" s="2" t="str">
        <f>IF(S$1&gt;$Z$4,"-",IF(COUNTIF($D$3:$D144,S$2)=$Z$3,"Full",SUMIFS($C$3:$C144,$D$3:$D144,S$2)))</f>
        <v>-</v>
      </c>
      <c r="T144" s="11" t="str">
        <f>IF(T$1&gt;$Z$4,"-",IF(COUNTIF($D$3:$D144,T$2)=$Z$3,"Full",SUMIFS($C$3:$C144,$D$3:$D144,T$2)))</f>
        <v>-</v>
      </c>
    </row>
    <row r="145" spans="1:20" x14ac:dyDescent="0.25">
      <c r="A145" s="10" t="str">
        <f t="shared" si="155"/>
        <v/>
      </c>
      <c r="D145" s="2" t="str" cm="1">
        <f t="array" aca="1" ref="D145" ca="1">IFERROR(_xlfn.XLOOKUP(MIN(E144:INDIRECT($AA$4&amp;A145+1)),E144:INDIRECT($AA$4&amp;A145+1),$E$2:INDIRECT($AA$4&amp;"$2")),"-")</f>
        <v>-</v>
      </c>
      <c r="E145" s="2" t="str">
        <f ca="1">IF(E$1&gt;$Z$4,"-",IF(COUNTIF($D$3:$D145,E$2)=$Z$3,"Full",SUMIFS($C$3:$C145,$D$3:$D145,E$2)))</f>
        <v>Full</v>
      </c>
      <c r="F145" s="2" t="str">
        <f>IF(F$1&gt;$Z$4,"-",IF(COUNTIF($D$3:$D145,F$2)=$Z$3,"Full",SUMIFS($C$3:$C145,$D$3:$D145,F$2)))</f>
        <v>-</v>
      </c>
      <c r="G145" s="2" t="str">
        <f>IF(G$1&gt;$Z$4,"-",IF(COUNTIF($D$3:$D145,G$2)=$Z$3,"Full",SUMIFS($C$3:$C145,$D$3:$D145,G$2)))</f>
        <v>-</v>
      </c>
      <c r="H145" s="2" t="str">
        <f>IF(H$1&gt;$Z$4,"-",IF(COUNTIF($D$3:$D145,H$2)=$Z$3,"Full",SUMIFS($C$3:$C145,$D$3:$D145,H$2)))</f>
        <v>-</v>
      </c>
      <c r="I145" s="2" t="str">
        <f>IF(I$1&gt;$Z$4,"-",IF(COUNTIF($D$3:$D145,I$2)=$Z$3,"Full",SUMIFS($C$3:$C145,$D$3:$D145,I$2)))</f>
        <v>-</v>
      </c>
      <c r="J145" s="2" t="str">
        <f>IF(J$1&gt;$Z$4,"-",IF(COUNTIF($D$3:$D145,J$2)=$Z$3,"Full",SUMIFS($C$3:$C145,$D$3:$D145,J$2)))</f>
        <v>-</v>
      </c>
      <c r="K145" s="2" t="str">
        <f>IF(K$1&gt;$Z$4,"-",IF(COUNTIF($D$3:$D145,K$2)=$Z$3,"Full",SUMIFS($C$3:$C145,$D$3:$D145,K$2)))</f>
        <v>-</v>
      </c>
      <c r="L145" s="2" t="str">
        <f>IF(L$1&gt;$Z$4,"-",IF(COUNTIF($D$3:$D145,L$2)=$Z$3,"Full",SUMIFS($C$3:$C145,$D$3:$D145,L$2)))</f>
        <v>-</v>
      </c>
      <c r="M145" s="2" t="str">
        <f>IF(M$1&gt;$Z$4,"-",IF(COUNTIF($D$3:$D145,M$2)=$Z$3,"Full",SUMIFS($C$3:$C145,$D$3:$D145,M$2)))</f>
        <v>-</v>
      </c>
      <c r="N145" s="2" t="str">
        <f>IF(N$1&gt;$Z$4,"-",IF(COUNTIF($D$3:$D145,N$2)=$Z$3,"Full",SUMIFS($C$3:$C145,$D$3:$D145,N$2)))</f>
        <v>-</v>
      </c>
      <c r="O145" s="2" t="str">
        <f>IF(O$1&gt;$Z$4,"-",IF(COUNTIF($D$3:$D145,O$2)=$Z$3,"Full",SUMIFS($C$3:$C145,$D$3:$D145,O$2)))</f>
        <v>-</v>
      </c>
      <c r="P145" s="2" t="str">
        <f>IF(P$1&gt;$Z$4,"-",IF(COUNTIF($D$3:$D145,P$2)=$Z$3,"Full",SUMIFS($C$3:$C145,$D$3:$D145,P$2)))</f>
        <v>-</v>
      </c>
      <c r="Q145" s="2" t="str">
        <f>IF(Q$1&gt;$Z$4,"-",IF(COUNTIF($D$3:$D145,Q$2)=$Z$3,"Full",SUMIFS($C$3:$C145,$D$3:$D145,Q$2)))</f>
        <v>-</v>
      </c>
      <c r="R145" s="2" t="str">
        <f>IF(R$1&gt;$Z$4,"-",IF(COUNTIF($D$3:$D145,R$2)=$Z$3,"Full",SUMIFS($C$3:$C145,$D$3:$D145,R$2)))</f>
        <v>-</v>
      </c>
      <c r="S145" s="2" t="str">
        <f>IF(S$1&gt;$Z$4,"-",IF(COUNTIF($D$3:$D145,S$2)=$Z$3,"Full",SUMIFS($C$3:$C145,$D$3:$D145,S$2)))</f>
        <v>-</v>
      </c>
      <c r="T145" s="11" t="str">
        <f>IF(T$1&gt;$Z$4,"-",IF(COUNTIF($D$3:$D145,T$2)=$Z$3,"Full",SUMIFS($C$3:$C145,$D$3:$D145,T$2)))</f>
        <v>-</v>
      </c>
    </row>
    <row r="146" spans="1:20" x14ac:dyDescent="0.25">
      <c r="A146" s="10" t="str">
        <f t="shared" si="155"/>
        <v/>
      </c>
      <c r="D146" s="2" t="str" cm="1">
        <f t="array" aca="1" ref="D146" ca="1">IFERROR(_xlfn.XLOOKUP(MIN(E145:INDIRECT($AA$4&amp;A146+1)),E145:INDIRECT($AA$4&amp;A146+1),$E$2:INDIRECT($AA$4&amp;"$2")),"-")</f>
        <v>-</v>
      </c>
      <c r="E146" s="2" t="str">
        <f ca="1">IF(E$1&gt;$Z$4,"-",IF(COUNTIF($D$3:$D146,E$2)=$Z$3,"Full",SUMIFS($C$3:$C146,$D$3:$D146,E$2)))</f>
        <v>Full</v>
      </c>
      <c r="F146" s="2" t="str">
        <f>IF(F$1&gt;$Z$4,"-",IF(COUNTIF($D$3:$D146,F$2)=$Z$3,"Full",SUMIFS($C$3:$C146,$D$3:$D146,F$2)))</f>
        <v>-</v>
      </c>
      <c r="G146" s="2" t="str">
        <f>IF(G$1&gt;$Z$4,"-",IF(COUNTIF($D$3:$D146,G$2)=$Z$3,"Full",SUMIFS($C$3:$C146,$D$3:$D146,G$2)))</f>
        <v>-</v>
      </c>
      <c r="H146" s="2" t="str">
        <f>IF(H$1&gt;$Z$4,"-",IF(COUNTIF($D$3:$D146,H$2)=$Z$3,"Full",SUMIFS($C$3:$C146,$D$3:$D146,H$2)))</f>
        <v>-</v>
      </c>
      <c r="I146" s="2" t="str">
        <f>IF(I$1&gt;$Z$4,"-",IF(COUNTIF($D$3:$D146,I$2)=$Z$3,"Full",SUMIFS($C$3:$C146,$D$3:$D146,I$2)))</f>
        <v>-</v>
      </c>
      <c r="J146" s="2" t="str">
        <f>IF(J$1&gt;$Z$4,"-",IF(COUNTIF($D$3:$D146,J$2)=$Z$3,"Full",SUMIFS($C$3:$C146,$D$3:$D146,J$2)))</f>
        <v>-</v>
      </c>
      <c r="K146" s="2" t="str">
        <f>IF(K$1&gt;$Z$4,"-",IF(COUNTIF($D$3:$D146,K$2)=$Z$3,"Full",SUMIFS($C$3:$C146,$D$3:$D146,K$2)))</f>
        <v>-</v>
      </c>
      <c r="L146" s="2" t="str">
        <f>IF(L$1&gt;$Z$4,"-",IF(COUNTIF($D$3:$D146,L$2)=$Z$3,"Full",SUMIFS($C$3:$C146,$D$3:$D146,L$2)))</f>
        <v>-</v>
      </c>
      <c r="M146" s="2" t="str">
        <f>IF(M$1&gt;$Z$4,"-",IF(COUNTIF($D$3:$D146,M$2)=$Z$3,"Full",SUMIFS($C$3:$C146,$D$3:$D146,M$2)))</f>
        <v>-</v>
      </c>
      <c r="N146" s="2" t="str">
        <f>IF(N$1&gt;$Z$4,"-",IF(COUNTIF($D$3:$D146,N$2)=$Z$3,"Full",SUMIFS($C$3:$C146,$D$3:$D146,N$2)))</f>
        <v>-</v>
      </c>
      <c r="O146" s="2" t="str">
        <f>IF(O$1&gt;$Z$4,"-",IF(COUNTIF($D$3:$D146,O$2)=$Z$3,"Full",SUMIFS($C$3:$C146,$D$3:$D146,O$2)))</f>
        <v>-</v>
      </c>
      <c r="P146" s="2" t="str">
        <f>IF(P$1&gt;$Z$4,"-",IF(COUNTIF($D$3:$D146,P$2)=$Z$3,"Full",SUMIFS($C$3:$C146,$D$3:$D146,P$2)))</f>
        <v>-</v>
      </c>
      <c r="Q146" s="2" t="str">
        <f>IF(Q$1&gt;$Z$4,"-",IF(COUNTIF($D$3:$D146,Q$2)=$Z$3,"Full",SUMIFS($C$3:$C146,$D$3:$D146,Q$2)))</f>
        <v>-</v>
      </c>
      <c r="R146" s="2" t="str">
        <f>IF(R$1&gt;$Z$4,"-",IF(COUNTIF($D$3:$D146,R$2)=$Z$3,"Full",SUMIFS($C$3:$C146,$D$3:$D146,R$2)))</f>
        <v>-</v>
      </c>
      <c r="S146" s="2" t="str">
        <f>IF(S$1&gt;$Z$4,"-",IF(COUNTIF($D$3:$D146,S$2)=$Z$3,"Full",SUMIFS($C$3:$C146,$D$3:$D146,S$2)))</f>
        <v>-</v>
      </c>
      <c r="T146" s="11" t="str">
        <f>IF(T$1&gt;$Z$4,"-",IF(COUNTIF($D$3:$D146,T$2)=$Z$3,"Full",SUMIFS($C$3:$C146,$D$3:$D146,T$2)))</f>
        <v>-</v>
      </c>
    </row>
    <row r="147" spans="1:20" x14ac:dyDescent="0.25">
      <c r="A147" s="10" t="str">
        <f t="shared" si="155"/>
        <v/>
      </c>
      <c r="D147" s="2" t="str" cm="1">
        <f t="array" aca="1" ref="D147" ca="1">IFERROR(_xlfn.XLOOKUP(MIN(E146:INDIRECT($AA$4&amp;A147+1)),E146:INDIRECT($AA$4&amp;A147+1),$E$2:INDIRECT($AA$4&amp;"$2")),"-")</f>
        <v>-</v>
      </c>
      <c r="E147" s="2" t="str">
        <f ca="1">IF(E$1&gt;$Z$4,"-",IF(COUNTIF($D$3:$D147,E$2)=$Z$3,"Full",SUMIFS($C$3:$C147,$D$3:$D147,E$2)))</f>
        <v>Full</v>
      </c>
      <c r="F147" s="2" t="str">
        <f>IF(F$1&gt;$Z$4,"-",IF(COUNTIF($D$3:$D147,F$2)=$Z$3,"Full",SUMIFS($C$3:$C147,$D$3:$D147,F$2)))</f>
        <v>-</v>
      </c>
      <c r="G147" s="2" t="str">
        <f>IF(G$1&gt;$Z$4,"-",IF(COUNTIF($D$3:$D147,G$2)=$Z$3,"Full",SUMIFS($C$3:$C147,$D$3:$D147,G$2)))</f>
        <v>-</v>
      </c>
      <c r="H147" s="2" t="str">
        <f>IF(H$1&gt;$Z$4,"-",IF(COUNTIF($D$3:$D147,H$2)=$Z$3,"Full",SUMIFS($C$3:$C147,$D$3:$D147,H$2)))</f>
        <v>-</v>
      </c>
      <c r="I147" s="2" t="str">
        <f>IF(I$1&gt;$Z$4,"-",IF(COUNTIF($D$3:$D147,I$2)=$Z$3,"Full",SUMIFS($C$3:$C147,$D$3:$D147,I$2)))</f>
        <v>-</v>
      </c>
      <c r="J147" s="2" t="str">
        <f>IF(J$1&gt;$Z$4,"-",IF(COUNTIF($D$3:$D147,J$2)=$Z$3,"Full",SUMIFS($C$3:$C147,$D$3:$D147,J$2)))</f>
        <v>-</v>
      </c>
      <c r="K147" s="2" t="str">
        <f>IF(K$1&gt;$Z$4,"-",IF(COUNTIF($D$3:$D147,K$2)=$Z$3,"Full",SUMIFS($C$3:$C147,$D$3:$D147,K$2)))</f>
        <v>-</v>
      </c>
      <c r="L147" s="2" t="str">
        <f>IF(L$1&gt;$Z$4,"-",IF(COUNTIF($D$3:$D147,L$2)=$Z$3,"Full",SUMIFS($C$3:$C147,$D$3:$D147,L$2)))</f>
        <v>-</v>
      </c>
      <c r="M147" s="2" t="str">
        <f>IF(M$1&gt;$Z$4,"-",IF(COUNTIF($D$3:$D147,M$2)=$Z$3,"Full",SUMIFS($C$3:$C147,$D$3:$D147,M$2)))</f>
        <v>-</v>
      </c>
      <c r="N147" s="2" t="str">
        <f>IF(N$1&gt;$Z$4,"-",IF(COUNTIF($D$3:$D147,N$2)=$Z$3,"Full",SUMIFS($C$3:$C147,$D$3:$D147,N$2)))</f>
        <v>-</v>
      </c>
      <c r="O147" s="2" t="str">
        <f>IF(O$1&gt;$Z$4,"-",IF(COUNTIF($D$3:$D147,O$2)=$Z$3,"Full",SUMIFS($C$3:$C147,$D$3:$D147,O$2)))</f>
        <v>-</v>
      </c>
      <c r="P147" s="2" t="str">
        <f>IF(P$1&gt;$Z$4,"-",IF(COUNTIF($D$3:$D147,P$2)=$Z$3,"Full",SUMIFS($C$3:$C147,$D$3:$D147,P$2)))</f>
        <v>-</v>
      </c>
      <c r="Q147" s="2" t="str">
        <f>IF(Q$1&gt;$Z$4,"-",IF(COUNTIF($D$3:$D147,Q$2)=$Z$3,"Full",SUMIFS($C$3:$C147,$D$3:$D147,Q$2)))</f>
        <v>-</v>
      </c>
      <c r="R147" s="2" t="str">
        <f>IF(R$1&gt;$Z$4,"-",IF(COUNTIF($D$3:$D147,R$2)=$Z$3,"Full",SUMIFS($C$3:$C147,$D$3:$D147,R$2)))</f>
        <v>-</v>
      </c>
      <c r="S147" s="2" t="str">
        <f>IF(S$1&gt;$Z$4,"-",IF(COUNTIF($D$3:$D147,S$2)=$Z$3,"Full",SUMIFS($C$3:$C147,$D$3:$D147,S$2)))</f>
        <v>-</v>
      </c>
      <c r="T147" s="11" t="str">
        <f>IF(T$1&gt;$Z$4,"-",IF(COUNTIF($D$3:$D147,T$2)=$Z$3,"Full",SUMIFS($C$3:$C147,$D$3:$D147,T$2)))</f>
        <v>-</v>
      </c>
    </row>
    <row r="148" spans="1:20" x14ac:dyDescent="0.25">
      <c r="A148" s="10" t="str">
        <f t="shared" si="155"/>
        <v/>
      </c>
      <c r="D148" s="2" t="str" cm="1">
        <f t="array" aca="1" ref="D148" ca="1">IFERROR(_xlfn.XLOOKUP(MIN(E147:INDIRECT($AA$4&amp;A148+1)),E147:INDIRECT($AA$4&amp;A148+1),$E$2:INDIRECT($AA$4&amp;"$2")),"-")</f>
        <v>-</v>
      </c>
      <c r="E148" s="2" t="str">
        <f ca="1">IF(E$1&gt;$Z$4,"-",IF(COUNTIF($D$3:$D148,E$2)=$Z$3,"Full",SUMIFS($C$3:$C148,$D$3:$D148,E$2)))</f>
        <v>Full</v>
      </c>
      <c r="F148" s="2" t="str">
        <f>IF(F$1&gt;$Z$4,"-",IF(COUNTIF($D$3:$D148,F$2)=$Z$3,"Full",SUMIFS($C$3:$C148,$D$3:$D148,F$2)))</f>
        <v>-</v>
      </c>
      <c r="G148" s="2" t="str">
        <f>IF(G$1&gt;$Z$4,"-",IF(COUNTIF($D$3:$D148,G$2)=$Z$3,"Full",SUMIFS($C$3:$C148,$D$3:$D148,G$2)))</f>
        <v>-</v>
      </c>
      <c r="H148" s="2" t="str">
        <f>IF(H$1&gt;$Z$4,"-",IF(COUNTIF($D$3:$D148,H$2)=$Z$3,"Full",SUMIFS($C$3:$C148,$D$3:$D148,H$2)))</f>
        <v>-</v>
      </c>
      <c r="I148" s="2" t="str">
        <f>IF(I$1&gt;$Z$4,"-",IF(COUNTIF($D$3:$D148,I$2)=$Z$3,"Full",SUMIFS($C$3:$C148,$D$3:$D148,I$2)))</f>
        <v>-</v>
      </c>
      <c r="J148" s="2" t="str">
        <f>IF(J$1&gt;$Z$4,"-",IF(COUNTIF($D$3:$D148,J$2)=$Z$3,"Full",SUMIFS($C$3:$C148,$D$3:$D148,J$2)))</f>
        <v>-</v>
      </c>
      <c r="K148" s="2" t="str">
        <f>IF(K$1&gt;$Z$4,"-",IF(COUNTIF($D$3:$D148,K$2)=$Z$3,"Full",SUMIFS($C$3:$C148,$D$3:$D148,K$2)))</f>
        <v>-</v>
      </c>
      <c r="L148" s="2" t="str">
        <f>IF(L$1&gt;$Z$4,"-",IF(COUNTIF($D$3:$D148,L$2)=$Z$3,"Full",SUMIFS($C$3:$C148,$D$3:$D148,L$2)))</f>
        <v>-</v>
      </c>
      <c r="M148" s="2" t="str">
        <f>IF(M$1&gt;$Z$4,"-",IF(COUNTIF($D$3:$D148,M$2)=$Z$3,"Full",SUMIFS($C$3:$C148,$D$3:$D148,M$2)))</f>
        <v>-</v>
      </c>
      <c r="N148" s="2" t="str">
        <f>IF(N$1&gt;$Z$4,"-",IF(COUNTIF($D$3:$D148,N$2)=$Z$3,"Full",SUMIFS($C$3:$C148,$D$3:$D148,N$2)))</f>
        <v>-</v>
      </c>
      <c r="O148" s="2" t="str">
        <f>IF(O$1&gt;$Z$4,"-",IF(COUNTIF($D$3:$D148,O$2)=$Z$3,"Full",SUMIFS($C$3:$C148,$D$3:$D148,O$2)))</f>
        <v>-</v>
      </c>
      <c r="P148" s="2" t="str">
        <f>IF(P$1&gt;$Z$4,"-",IF(COUNTIF($D$3:$D148,P$2)=$Z$3,"Full",SUMIFS($C$3:$C148,$D$3:$D148,P$2)))</f>
        <v>-</v>
      </c>
      <c r="Q148" s="2" t="str">
        <f>IF(Q$1&gt;$Z$4,"-",IF(COUNTIF($D$3:$D148,Q$2)=$Z$3,"Full",SUMIFS($C$3:$C148,$D$3:$D148,Q$2)))</f>
        <v>-</v>
      </c>
      <c r="R148" s="2" t="str">
        <f>IF(R$1&gt;$Z$4,"-",IF(COUNTIF($D$3:$D148,R$2)=$Z$3,"Full",SUMIFS($C$3:$C148,$D$3:$D148,R$2)))</f>
        <v>-</v>
      </c>
      <c r="S148" s="2" t="str">
        <f>IF(S$1&gt;$Z$4,"-",IF(COUNTIF($D$3:$D148,S$2)=$Z$3,"Full",SUMIFS($C$3:$C148,$D$3:$D148,S$2)))</f>
        <v>-</v>
      </c>
      <c r="T148" s="11" t="str">
        <f>IF(T$1&gt;$Z$4,"-",IF(COUNTIF($D$3:$D148,T$2)=$Z$3,"Full",SUMIFS($C$3:$C148,$D$3:$D148,T$2)))</f>
        <v>-</v>
      </c>
    </row>
    <row r="149" spans="1:20" x14ac:dyDescent="0.25">
      <c r="A149" s="10" t="str">
        <f t="shared" si="155"/>
        <v/>
      </c>
      <c r="D149" s="2" t="str" cm="1">
        <f t="array" aca="1" ref="D149" ca="1">IFERROR(_xlfn.XLOOKUP(MIN(E148:INDIRECT($AA$4&amp;A149+1)),E148:INDIRECT($AA$4&amp;A149+1),$E$2:INDIRECT($AA$4&amp;"$2")),"-")</f>
        <v>-</v>
      </c>
      <c r="E149" s="2" t="str">
        <f ca="1">IF(E$1&gt;$Z$4,"-",IF(COUNTIF($D$3:$D149,E$2)=$Z$3,"Full",SUMIFS($C$3:$C149,$D$3:$D149,E$2)))</f>
        <v>Full</v>
      </c>
      <c r="F149" s="2" t="str">
        <f>IF(F$1&gt;$Z$4,"-",IF(COUNTIF($D$3:$D149,F$2)=$Z$3,"Full",SUMIFS($C$3:$C149,$D$3:$D149,F$2)))</f>
        <v>-</v>
      </c>
      <c r="G149" s="2" t="str">
        <f>IF(G$1&gt;$Z$4,"-",IF(COUNTIF($D$3:$D149,G$2)=$Z$3,"Full",SUMIFS($C$3:$C149,$D$3:$D149,G$2)))</f>
        <v>-</v>
      </c>
      <c r="H149" s="2" t="str">
        <f>IF(H$1&gt;$Z$4,"-",IF(COUNTIF($D$3:$D149,H$2)=$Z$3,"Full",SUMIFS($C$3:$C149,$D$3:$D149,H$2)))</f>
        <v>-</v>
      </c>
      <c r="I149" s="2" t="str">
        <f>IF(I$1&gt;$Z$4,"-",IF(COUNTIF($D$3:$D149,I$2)=$Z$3,"Full",SUMIFS($C$3:$C149,$D$3:$D149,I$2)))</f>
        <v>-</v>
      </c>
      <c r="J149" s="2" t="str">
        <f>IF(J$1&gt;$Z$4,"-",IF(COUNTIF($D$3:$D149,J$2)=$Z$3,"Full",SUMIFS($C$3:$C149,$D$3:$D149,J$2)))</f>
        <v>-</v>
      </c>
      <c r="K149" s="2" t="str">
        <f>IF(K$1&gt;$Z$4,"-",IF(COUNTIF($D$3:$D149,K$2)=$Z$3,"Full",SUMIFS($C$3:$C149,$D$3:$D149,K$2)))</f>
        <v>-</v>
      </c>
      <c r="L149" s="2" t="str">
        <f>IF(L$1&gt;$Z$4,"-",IF(COUNTIF($D$3:$D149,L$2)=$Z$3,"Full",SUMIFS($C$3:$C149,$D$3:$D149,L$2)))</f>
        <v>-</v>
      </c>
      <c r="M149" s="2" t="str">
        <f>IF(M$1&gt;$Z$4,"-",IF(COUNTIF($D$3:$D149,M$2)=$Z$3,"Full",SUMIFS($C$3:$C149,$D$3:$D149,M$2)))</f>
        <v>-</v>
      </c>
      <c r="N149" s="2" t="str">
        <f>IF(N$1&gt;$Z$4,"-",IF(COUNTIF($D$3:$D149,N$2)=$Z$3,"Full",SUMIFS($C$3:$C149,$D$3:$D149,N$2)))</f>
        <v>-</v>
      </c>
      <c r="O149" s="2" t="str">
        <f>IF(O$1&gt;$Z$4,"-",IF(COUNTIF($D$3:$D149,O$2)=$Z$3,"Full",SUMIFS($C$3:$C149,$D$3:$D149,O$2)))</f>
        <v>-</v>
      </c>
      <c r="P149" s="2" t="str">
        <f>IF(P$1&gt;$Z$4,"-",IF(COUNTIF($D$3:$D149,P$2)=$Z$3,"Full",SUMIFS($C$3:$C149,$D$3:$D149,P$2)))</f>
        <v>-</v>
      </c>
      <c r="Q149" s="2" t="str">
        <f>IF(Q$1&gt;$Z$4,"-",IF(COUNTIF($D$3:$D149,Q$2)=$Z$3,"Full",SUMIFS($C$3:$C149,$D$3:$D149,Q$2)))</f>
        <v>-</v>
      </c>
      <c r="R149" s="2" t="str">
        <f>IF(R$1&gt;$Z$4,"-",IF(COUNTIF($D$3:$D149,R$2)=$Z$3,"Full",SUMIFS($C$3:$C149,$D$3:$D149,R$2)))</f>
        <v>-</v>
      </c>
      <c r="S149" s="2" t="str">
        <f>IF(S$1&gt;$Z$4,"-",IF(COUNTIF($D$3:$D149,S$2)=$Z$3,"Full",SUMIFS($C$3:$C149,$D$3:$D149,S$2)))</f>
        <v>-</v>
      </c>
      <c r="T149" s="11" t="str">
        <f>IF(T$1&gt;$Z$4,"-",IF(COUNTIF($D$3:$D149,T$2)=$Z$3,"Full",SUMIFS($C$3:$C149,$D$3:$D149,T$2)))</f>
        <v>-</v>
      </c>
    </row>
    <row r="150" spans="1:20" x14ac:dyDescent="0.25">
      <c r="A150" s="10" t="str">
        <f t="shared" si="155"/>
        <v/>
      </c>
      <c r="D150" s="2" t="str" cm="1">
        <f t="array" aca="1" ref="D150" ca="1">IFERROR(_xlfn.XLOOKUP(MIN(E149:INDIRECT($AA$4&amp;A150+1)),E149:INDIRECT($AA$4&amp;A150+1),$E$2:INDIRECT($AA$4&amp;"$2")),"-")</f>
        <v>-</v>
      </c>
      <c r="E150" s="2" t="str">
        <f ca="1">IF(E$1&gt;$Z$4,"-",IF(COUNTIF($D$3:$D150,E$2)=$Z$3,"Full",SUMIFS($C$3:$C150,$D$3:$D150,E$2)))</f>
        <v>Full</v>
      </c>
      <c r="F150" s="2" t="str">
        <f>IF(F$1&gt;$Z$4,"-",IF(COUNTIF($D$3:$D150,F$2)=$Z$3,"Full",SUMIFS($C$3:$C150,$D$3:$D150,F$2)))</f>
        <v>-</v>
      </c>
      <c r="G150" s="2" t="str">
        <f>IF(G$1&gt;$Z$4,"-",IF(COUNTIF($D$3:$D150,G$2)=$Z$3,"Full",SUMIFS($C$3:$C150,$D$3:$D150,G$2)))</f>
        <v>-</v>
      </c>
      <c r="H150" s="2" t="str">
        <f>IF(H$1&gt;$Z$4,"-",IF(COUNTIF($D$3:$D150,H$2)=$Z$3,"Full",SUMIFS($C$3:$C150,$D$3:$D150,H$2)))</f>
        <v>-</v>
      </c>
      <c r="I150" s="2" t="str">
        <f>IF(I$1&gt;$Z$4,"-",IF(COUNTIF($D$3:$D150,I$2)=$Z$3,"Full",SUMIFS($C$3:$C150,$D$3:$D150,I$2)))</f>
        <v>-</v>
      </c>
      <c r="J150" s="2" t="str">
        <f>IF(J$1&gt;$Z$4,"-",IF(COUNTIF($D$3:$D150,J$2)=$Z$3,"Full",SUMIFS($C$3:$C150,$D$3:$D150,J$2)))</f>
        <v>-</v>
      </c>
      <c r="K150" s="2" t="str">
        <f>IF(K$1&gt;$Z$4,"-",IF(COUNTIF($D$3:$D150,K$2)=$Z$3,"Full",SUMIFS($C$3:$C150,$D$3:$D150,K$2)))</f>
        <v>-</v>
      </c>
      <c r="L150" s="2" t="str">
        <f>IF(L$1&gt;$Z$4,"-",IF(COUNTIF($D$3:$D150,L$2)=$Z$3,"Full",SUMIFS($C$3:$C150,$D$3:$D150,L$2)))</f>
        <v>-</v>
      </c>
      <c r="M150" s="2" t="str">
        <f>IF(M$1&gt;$Z$4,"-",IF(COUNTIF($D$3:$D150,M$2)=$Z$3,"Full",SUMIFS($C$3:$C150,$D$3:$D150,M$2)))</f>
        <v>-</v>
      </c>
      <c r="N150" s="2" t="str">
        <f>IF(N$1&gt;$Z$4,"-",IF(COUNTIF($D$3:$D150,N$2)=$Z$3,"Full",SUMIFS($C$3:$C150,$D$3:$D150,N$2)))</f>
        <v>-</v>
      </c>
      <c r="O150" s="2" t="str">
        <f>IF(O$1&gt;$Z$4,"-",IF(COUNTIF($D$3:$D150,O$2)=$Z$3,"Full",SUMIFS($C$3:$C150,$D$3:$D150,O$2)))</f>
        <v>-</v>
      </c>
      <c r="P150" s="2" t="str">
        <f>IF(P$1&gt;$Z$4,"-",IF(COUNTIF($D$3:$D150,P$2)=$Z$3,"Full",SUMIFS($C$3:$C150,$D$3:$D150,P$2)))</f>
        <v>-</v>
      </c>
      <c r="Q150" s="2" t="str">
        <f>IF(Q$1&gt;$Z$4,"-",IF(COUNTIF($D$3:$D150,Q$2)=$Z$3,"Full",SUMIFS($C$3:$C150,$D$3:$D150,Q$2)))</f>
        <v>-</v>
      </c>
      <c r="R150" s="2" t="str">
        <f>IF(R$1&gt;$Z$4,"-",IF(COUNTIF($D$3:$D150,R$2)=$Z$3,"Full",SUMIFS($C$3:$C150,$D$3:$D150,R$2)))</f>
        <v>-</v>
      </c>
      <c r="S150" s="2" t="str">
        <f>IF(S$1&gt;$Z$4,"-",IF(COUNTIF($D$3:$D150,S$2)=$Z$3,"Full",SUMIFS($C$3:$C150,$D$3:$D150,S$2)))</f>
        <v>-</v>
      </c>
      <c r="T150" s="11" t="str">
        <f>IF(T$1&gt;$Z$4,"-",IF(COUNTIF($D$3:$D150,T$2)=$Z$3,"Full",SUMIFS($C$3:$C150,$D$3:$D150,T$2)))</f>
        <v>-</v>
      </c>
    </row>
    <row r="151" spans="1:20" x14ac:dyDescent="0.25">
      <c r="A151" s="10" t="str">
        <f t="shared" si="155"/>
        <v/>
      </c>
      <c r="D151" s="2" t="str" cm="1">
        <f t="array" aca="1" ref="D151" ca="1">IFERROR(_xlfn.XLOOKUP(MIN(E150:INDIRECT($AA$4&amp;A151+1)),E150:INDIRECT($AA$4&amp;A151+1),$E$2:INDIRECT($AA$4&amp;"$2")),"-")</f>
        <v>-</v>
      </c>
      <c r="E151" s="2" t="str">
        <f ca="1">IF(E$1&gt;$Z$4,"-",IF(COUNTIF($D$3:$D151,E$2)=$Z$3,"Full",SUMIFS($C$3:$C151,$D$3:$D151,E$2)))</f>
        <v>Full</v>
      </c>
      <c r="F151" s="2" t="str">
        <f>IF(F$1&gt;$Z$4,"-",IF(COUNTIF($D$3:$D151,F$2)=$Z$3,"Full",SUMIFS($C$3:$C151,$D$3:$D151,F$2)))</f>
        <v>-</v>
      </c>
      <c r="G151" s="2" t="str">
        <f>IF(G$1&gt;$Z$4,"-",IF(COUNTIF($D$3:$D151,G$2)=$Z$3,"Full",SUMIFS($C$3:$C151,$D$3:$D151,G$2)))</f>
        <v>-</v>
      </c>
      <c r="H151" s="2" t="str">
        <f>IF(H$1&gt;$Z$4,"-",IF(COUNTIF($D$3:$D151,H$2)=$Z$3,"Full",SUMIFS($C$3:$C151,$D$3:$D151,H$2)))</f>
        <v>-</v>
      </c>
      <c r="I151" s="2" t="str">
        <f>IF(I$1&gt;$Z$4,"-",IF(COUNTIF($D$3:$D151,I$2)=$Z$3,"Full",SUMIFS($C$3:$C151,$D$3:$D151,I$2)))</f>
        <v>-</v>
      </c>
      <c r="J151" s="2" t="str">
        <f>IF(J$1&gt;$Z$4,"-",IF(COUNTIF($D$3:$D151,J$2)=$Z$3,"Full",SUMIFS($C$3:$C151,$D$3:$D151,J$2)))</f>
        <v>-</v>
      </c>
      <c r="K151" s="2" t="str">
        <f>IF(K$1&gt;$Z$4,"-",IF(COUNTIF($D$3:$D151,K$2)=$Z$3,"Full",SUMIFS($C$3:$C151,$D$3:$D151,K$2)))</f>
        <v>-</v>
      </c>
      <c r="L151" s="2" t="str">
        <f>IF(L$1&gt;$Z$4,"-",IF(COUNTIF($D$3:$D151,L$2)=$Z$3,"Full",SUMIFS($C$3:$C151,$D$3:$D151,L$2)))</f>
        <v>-</v>
      </c>
      <c r="M151" s="2" t="str">
        <f>IF(M$1&gt;$Z$4,"-",IF(COUNTIF($D$3:$D151,M$2)=$Z$3,"Full",SUMIFS($C$3:$C151,$D$3:$D151,M$2)))</f>
        <v>-</v>
      </c>
      <c r="N151" s="2" t="str">
        <f>IF(N$1&gt;$Z$4,"-",IF(COUNTIF($D$3:$D151,N$2)=$Z$3,"Full",SUMIFS($C$3:$C151,$D$3:$D151,N$2)))</f>
        <v>-</v>
      </c>
      <c r="O151" s="2" t="str">
        <f>IF(O$1&gt;$Z$4,"-",IF(COUNTIF($D$3:$D151,O$2)=$Z$3,"Full",SUMIFS($C$3:$C151,$D$3:$D151,O$2)))</f>
        <v>-</v>
      </c>
      <c r="P151" s="2" t="str">
        <f>IF(P$1&gt;$Z$4,"-",IF(COUNTIF($D$3:$D151,P$2)=$Z$3,"Full",SUMIFS($C$3:$C151,$D$3:$D151,P$2)))</f>
        <v>-</v>
      </c>
      <c r="Q151" s="2" t="str">
        <f>IF(Q$1&gt;$Z$4,"-",IF(COUNTIF($D$3:$D151,Q$2)=$Z$3,"Full",SUMIFS($C$3:$C151,$D$3:$D151,Q$2)))</f>
        <v>-</v>
      </c>
      <c r="R151" s="2" t="str">
        <f>IF(R$1&gt;$Z$4,"-",IF(COUNTIF($D$3:$D151,R$2)=$Z$3,"Full",SUMIFS($C$3:$C151,$D$3:$D151,R$2)))</f>
        <v>-</v>
      </c>
      <c r="S151" s="2" t="str">
        <f>IF(S$1&gt;$Z$4,"-",IF(COUNTIF($D$3:$D151,S$2)=$Z$3,"Full",SUMIFS($C$3:$C151,$D$3:$D151,S$2)))</f>
        <v>-</v>
      </c>
      <c r="T151" s="11" t="str">
        <f>IF(T$1&gt;$Z$4,"-",IF(COUNTIF($D$3:$D151,T$2)=$Z$3,"Full",SUMIFS($C$3:$C151,$D$3:$D151,T$2)))</f>
        <v>-</v>
      </c>
    </row>
    <row r="152" spans="1:20" x14ac:dyDescent="0.25">
      <c r="A152" s="10" t="str">
        <f t="shared" si="155"/>
        <v/>
      </c>
      <c r="D152" s="2" t="str" cm="1">
        <f t="array" aca="1" ref="D152" ca="1">IFERROR(_xlfn.XLOOKUP(MIN(E151:INDIRECT($AA$4&amp;A152+1)),E151:INDIRECT($AA$4&amp;A152+1),$E$2:INDIRECT($AA$4&amp;"$2")),"-")</f>
        <v>-</v>
      </c>
      <c r="E152" s="2" t="str">
        <f ca="1">IF(E$1&gt;$Z$4,"-",IF(COUNTIF($D$3:$D152,E$2)=$Z$3,"Full",SUMIFS($C$3:$C152,$D$3:$D152,E$2)))</f>
        <v>Full</v>
      </c>
      <c r="F152" s="2" t="str">
        <f>IF(F$1&gt;$Z$4,"-",IF(COUNTIF($D$3:$D152,F$2)=$Z$3,"Full",SUMIFS($C$3:$C152,$D$3:$D152,F$2)))</f>
        <v>-</v>
      </c>
      <c r="G152" s="2" t="str">
        <f>IF(G$1&gt;$Z$4,"-",IF(COUNTIF($D$3:$D152,G$2)=$Z$3,"Full",SUMIFS($C$3:$C152,$D$3:$D152,G$2)))</f>
        <v>-</v>
      </c>
      <c r="H152" s="2" t="str">
        <f>IF(H$1&gt;$Z$4,"-",IF(COUNTIF($D$3:$D152,H$2)=$Z$3,"Full",SUMIFS($C$3:$C152,$D$3:$D152,H$2)))</f>
        <v>-</v>
      </c>
      <c r="I152" s="2" t="str">
        <f>IF(I$1&gt;$Z$4,"-",IF(COUNTIF($D$3:$D152,I$2)=$Z$3,"Full",SUMIFS($C$3:$C152,$D$3:$D152,I$2)))</f>
        <v>-</v>
      </c>
      <c r="J152" s="2" t="str">
        <f>IF(J$1&gt;$Z$4,"-",IF(COUNTIF($D$3:$D152,J$2)=$Z$3,"Full",SUMIFS($C$3:$C152,$D$3:$D152,J$2)))</f>
        <v>-</v>
      </c>
      <c r="K152" s="2" t="str">
        <f>IF(K$1&gt;$Z$4,"-",IF(COUNTIF($D$3:$D152,K$2)=$Z$3,"Full",SUMIFS($C$3:$C152,$D$3:$D152,K$2)))</f>
        <v>-</v>
      </c>
      <c r="L152" s="2" t="str">
        <f>IF(L$1&gt;$Z$4,"-",IF(COUNTIF($D$3:$D152,L$2)=$Z$3,"Full",SUMIFS($C$3:$C152,$D$3:$D152,L$2)))</f>
        <v>-</v>
      </c>
      <c r="M152" s="2" t="str">
        <f>IF(M$1&gt;$Z$4,"-",IF(COUNTIF($D$3:$D152,M$2)=$Z$3,"Full",SUMIFS($C$3:$C152,$D$3:$D152,M$2)))</f>
        <v>-</v>
      </c>
      <c r="N152" s="2" t="str">
        <f>IF(N$1&gt;$Z$4,"-",IF(COUNTIF($D$3:$D152,N$2)=$Z$3,"Full",SUMIFS($C$3:$C152,$D$3:$D152,N$2)))</f>
        <v>-</v>
      </c>
      <c r="O152" s="2" t="str">
        <f>IF(O$1&gt;$Z$4,"-",IF(COUNTIF($D$3:$D152,O$2)=$Z$3,"Full",SUMIFS($C$3:$C152,$D$3:$D152,O$2)))</f>
        <v>-</v>
      </c>
      <c r="P152" s="2" t="str">
        <f>IF(P$1&gt;$Z$4,"-",IF(COUNTIF($D$3:$D152,P$2)=$Z$3,"Full",SUMIFS($C$3:$C152,$D$3:$D152,P$2)))</f>
        <v>-</v>
      </c>
      <c r="Q152" s="2" t="str">
        <f>IF(Q$1&gt;$Z$4,"-",IF(COUNTIF($D$3:$D152,Q$2)=$Z$3,"Full",SUMIFS($C$3:$C152,$D$3:$D152,Q$2)))</f>
        <v>-</v>
      </c>
      <c r="R152" s="2" t="str">
        <f>IF(R$1&gt;$Z$4,"-",IF(COUNTIF($D$3:$D152,R$2)=$Z$3,"Full",SUMIFS($C$3:$C152,$D$3:$D152,R$2)))</f>
        <v>-</v>
      </c>
      <c r="S152" s="2" t="str">
        <f>IF(S$1&gt;$Z$4,"-",IF(COUNTIF($D$3:$D152,S$2)=$Z$3,"Full",SUMIFS($C$3:$C152,$D$3:$D152,S$2)))</f>
        <v>-</v>
      </c>
      <c r="T152" s="11" t="str">
        <f>IF(T$1&gt;$Z$4,"-",IF(COUNTIF($D$3:$D152,T$2)=$Z$3,"Full",SUMIFS($C$3:$C152,$D$3:$D152,T$2)))</f>
        <v>-</v>
      </c>
    </row>
    <row r="153" spans="1:20" x14ac:dyDescent="0.25">
      <c r="A153" s="10" t="str">
        <f t="shared" si="155"/>
        <v/>
      </c>
      <c r="D153" s="2" t="str" cm="1">
        <f t="array" aca="1" ref="D153" ca="1">IFERROR(_xlfn.XLOOKUP(MIN(E152:INDIRECT($AA$4&amp;A153+1)),E152:INDIRECT($AA$4&amp;A153+1),$E$2:INDIRECT($AA$4&amp;"$2")),"-")</f>
        <v>-</v>
      </c>
      <c r="E153" s="2" t="str">
        <f ca="1">IF(E$1&gt;$Z$4,"-",IF(COUNTIF($D$3:$D153,E$2)=$Z$3,"Full",SUMIFS($C$3:$C153,$D$3:$D153,E$2)))</f>
        <v>Full</v>
      </c>
      <c r="F153" s="2" t="str">
        <f>IF(F$1&gt;$Z$4,"-",IF(COUNTIF($D$3:$D153,F$2)=$Z$3,"Full",SUMIFS($C$3:$C153,$D$3:$D153,F$2)))</f>
        <v>-</v>
      </c>
      <c r="G153" s="2" t="str">
        <f>IF(G$1&gt;$Z$4,"-",IF(COUNTIF($D$3:$D153,G$2)=$Z$3,"Full",SUMIFS($C$3:$C153,$D$3:$D153,G$2)))</f>
        <v>-</v>
      </c>
      <c r="H153" s="2" t="str">
        <f>IF(H$1&gt;$Z$4,"-",IF(COUNTIF($D$3:$D153,H$2)=$Z$3,"Full",SUMIFS($C$3:$C153,$D$3:$D153,H$2)))</f>
        <v>-</v>
      </c>
      <c r="I153" s="2" t="str">
        <f>IF(I$1&gt;$Z$4,"-",IF(COUNTIF($D$3:$D153,I$2)=$Z$3,"Full",SUMIFS($C$3:$C153,$D$3:$D153,I$2)))</f>
        <v>-</v>
      </c>
      <c r="J153" s="2" t="str">
        <f>IF(J$1&gt;$Z$4,"-",IF(COUNTIF($D$3:$D153,J$2)=$Z$3,"Full",SUMIFS($C$3:$C153,$D$3:$D153,J$2)))</f>
        <v>-</v>
      </c>
      <c r="K153" s="2" t="str">
        <f>IF(K$1&gt;$Z$4,"-",IF(COUNTIF($D$3:$D153,K$2)=$Z$3,"Full",SUMIFS($C$3:$C153,$D$3:$D153,K$2)))</f>
        <v>-</v>
      </c>
      <c r="L153" s="2" t="str">
        <f>IF(L$1&gt;$Z$4,"-",IF(COUNTIF($D$3:$D153,L$2)=$Z$3,"Full",SUMIFS($C$3:$C153,$D$3:$D153,L$2)))</f>
        <v>-</v>
      </c>
      <c r="M153" s="2" t="str">
        <f>IF(M$1&gt;$Z$4,"-",IF(COUNTIF($D$3:$D153,M$2)=$Z$3,"Full",SUMIFS($C$3:$C153,$D$3:$D153,M$2)))</f>
        <v>-</v>
      </c>
      <c r="N153" s="2" t="str">
        <f>IF(N$1&gt;$Z$4,"-",IF(COUNTIF($D$3:$D153,N$2)=$Z$3,"Full",SUMIFS($C$3:$C153,$D$3:$D153,N$2)))</f>
        <v>-</v>
      </c>
      <c r="O153" s="2" t="str">
        <f>IF(O$1&gt;$Z$4,"-",IF(COUNTIF($D$3:$D153,O$2)=$Z$3,"Full",SUMIFS($C$3:$C153,$D$3:$D153,O$2)))</f>
        <v>-</v>
      </c>
      <c r="P153" s="2" t="str">
        <f>IF(P$1&gt;$Z$4,"-",IF(COUNTIF($D$3:$D153,P$2)=$Z$3,"Full",SUMIFS($C$3:$C153,$D$3:$D153,P$2)))</f>
        <v>-</v>
      </c>
      <c r="Q153" s="2" t="str">
        <f>IF(Q$1&gt;$Z$4,"-",IF(COUNTIF($D$3:$D153,Q$2)=$Z$3,"Full",SUMIFS($C$3:$C153,$D$3:$D153,Q$2)))</f>
        <v>-</v>
      </c>
      <c r="R153" s="2" t="str">
        <f>IF(R$1&gt;$Z$4,"-",IF(COUNTIF($D$3:$D153,R$2)=$Z$3,"Full",SUMIFS($C$3:$C153,$D$3:$D153,R$2)))</f>
        <v>-</v>
      </c>
      <c r="S153" s="2" t="str">
        <f>IF(S$1&gt;$Z$4,"-",IF(COUNTIF($D$3:$D153,S$2)=$Z$3,"Full",SUMIFS($C$3:$C153,$D$3:$D153,S$2)))</f>
        <v>-</v>
      </c>
      <c r="T153" s="11" t="str">
        <f>IF(T$1&gt;$Z$4,"-",IF(COUNTIF($D$3:$D153,T$2)=$Z$3,"Full",SUMIFS($C$3:$C153,$D$3:$D153,T$2)))</f>
        <v>-</v>
      </c>
    </row>
    <row r="154" spans="1:20" x14ac:dyDescent="0.25">
      <c r="A154" s="10" t="str">
        <f t="shared" si="155"/>
        <v/>
      </c>
      <c r="D154" s="2" t="str" cm="1">
        <f t="array" aca="1" ref="D154" ca="1">IFERROR(_xlfn.XLOOKUP(MIN(E153:INDIRECT($AA$4&amp;A154+1)),E153:INDIRECT($AA$4&amp;A154+1),$E$2:INDIRECT($AA$4&amp;"$2")),"-")</f>
        <v>-</v>
      </c>
      <c r="E154" s="2" t="str">
        <f ca="1">IF(E$1&gt;$Z$4,"-",IF(COUNTIF($D$3:$D154,E$2)=$Z$3,"Full",SUMIFS($C$3:$C154,$D$3:$D154,E$2)))</f>
        <v>Full</v>
      </c>
      <c r="F154" s="2" t="str">
        <f>IF(F$1&gt;$Z$4,"-",IF(COUNTIF($D$3:$D154,F$2)=$Z$3,"Full",SUMIFS($C$3:$C154,$D$3:$D154,F$2)))</f>
        <v>-</v>
      </c>
      <c r="G154" s="2" t="str">
        <f>IF(G$1&gt;$Z$4,"-",IF(COUNTIF($D$3:$D154,G$2)=$Z$3,"Full",SUMIFS($C$3:$C154,$D$3:$D154,G$2)))</f>
        <v>-</v>
      </c>
      <c r="H154" s="2" t="str">
        <f>IF(H$1&gt;$Z$4,"-",IF(COUNTIF($D$3:$D154,H$2)=$Z$3,"Full",SUMIFS($C$3:$C154,$D$3:$D154,H$2)))</f>
        <v>-</v>
      </c>
      <c r="I154" s="2" t="str">
        <f>IF(I$1&gt;$Z$4,"-",IF(COUNTIF($D$3:$D154,I$2)=$Z$3,"Full",SUMIFS($C$3:$C154,$D$3:$D154,I$2)))</f>
        <v>-</v>
      </c>
      <c r="J154" s="2" t="str">
        <f>IF(J$1&gt;$Z$4,"-",IF(COUNTIF($D$3:$D154,J$2)=$Z$3,"Full",SUMIFS($C$3:$C154,$D$3:$D154,J$2)))</f>
        <v>-</v>
      </c>
      <c r="K154" s="2" t="str">
        <f>IF(K$1&gt;$Z$4,"-",IF(COUNTIF($D$3:$D154,K$2)=$Z$3,"Full",SUMIFS($C$3:$C154,$D$3:$D154,K$2)))</f>
        <v>-</v>
      </c>
      <c r="L154" s="2" t="str">
        <f>IF(L$1&gt;$Z$4,"-",IF(COUNTIF($D$3:$D154,L$2)=$Z$3,"Full",SUMIFS($C$3:$C154,$D$3:$D154,L$2)))</f>
        <v>-</v>
      </c>
      <c r="M154" s="2" t="str">
        <f>IF(M$1&gt;$Z$4,"-",IF(COUNTIF($D$3:$D154,M$2)=$Z$3,"Full",SUMIFS($C$3:$C154,$D$3:$D154,M$2)))</f>
        <v>-</v>
      </c>
      <c r="N154" s="2" t="str">
        <f>IF(N$1&gt;$Z$4,"-",IF(COUNTIF($D$3:$D154,N$2)=$Z$3,"Full",SUMIFS($C$3:$C154,$D$3:$D154,N$2)))</f>
        <v>-</v>
      </c>
      <c r="O154" s="2" t="str">
        <f>IF(O$1&gt;$Z$4,"-",IF(COUNTIF($D$3:$D154,O$2)=$Z$3,"Full",SUMIFS($C$3:$C154,$D$3:$D154,O$2)))</f>
        <v>-</v>
      </c>
      <c r="P154" s="2" t="str">
        <f>IF(P$1&gt;$Z$4,"-",IF(COUNTIF($D$3:$D154,P$2)=$Z$3,"Full",SUMIFS($C$3:$C154,$D$3:$D154,P$2)))</f>
        <v>-</v>
      </c>
      <c r="Q154" s="2" t="str">
        <f>IF(Q$1&gt;$Z$4,"-",IF(COUNTIF($D$3:$D154,Q$2)=$Z$3,"Full",SUMIFS($C$3:$C154,$D$3:$D154,Q$2)))</f>
        <v>-</v>
      </c>
      <c r="R154" s="2" t="str">
        <f>IF(R$1&gt;$Z$4,"-",IF(COUNTIF($D$3:$D154,R$2)=$Z$3,"Full",SUMIFS($C$3:$C154,$D$3:$D154,R$2)))</f>
        <v>-</v>
      </c>
      <c r="S154" s="2" t="str">
        <f>IF(S$1&gt;$Z$4,"-",IF(COUNTIF($D$3:$D154,S$2)=$Z$3,"Full",SUMIFS($C$3:$C154,$D$3:$D154,S$2)))</f>
        <v>-</v>
      </c>
      <c r="T154" s="11" t="str">
        <f>IF(T$1&gt;$Z$4,"-",IF(COUNTIF($D$3:$D154,T$2)=$Z$3,"Full",SUMIFS($C$3:$C154,$D$3:$D154,T$2)))</f>
        <v>-</v>
      </c>
    </row>
    <row r="155" spans="1:20" x14ac:dyDescent="0.25">
      <c r="A155" s="10" t="str">
        <f t="shared" si="155"/>
        <v/>
      </c>
      <c r="D155" s="2" t="str" cm="1">
        <f t="array" aca="1" ref="D155" ca="1">IFERROR(_xlfn.XLOOKUP(MIN(E154:INDIRECT($AA$4&amp;A155+1)),E154:INDIRECT($AA$4&amp;A155+1),$E$2:INDIRECT($AA$4&amp;"$2")),"-")</f>
        <v>-</v>
      </c>
      <c r="E155" s="2" t="str">
        <f ca="1">IF(E$1&gt;$Z$4,"-",IF(COUNTIF($D$3:$D155,E$2)=$Z$3,"Full",SUMIFS($C$3:$C155,$D$3:$D155,E$2)))</f>
        <v>Full</v>
      </c>
      <c r="F155" s="2" t="str">
        <f>IF(F$1&gt;$Z$4,"-",IF(COUNTIF($D$3:$D155,F$2)=$Z$3,"Full",SUMIFS($C$3:$C155,$D$3:$D155,F$2)))</f>
        <v>-</v>
      </c>
      <c r="G155" s="2" t="str">
        <f>IF(G$1&gt;$Z$4,"-",IF(COUNTIF($D$3:$D155,G$2)=$Z$3,"Full",SUMIFS($C$3:$C155,$D$3:$D155,G$2)))</f>
        <v>-</v>
      </c>
      <c r="H155" s="2" t="str">
        <f>IF(H$1&gt;$Z$4,"-",IF(COUNTIF($D$3:$D155,H$2)=$Z$3,"Full",SUMIFS($C$3:$C155,$D$3:$D155,H$2)))</f>
        <v>-</v>
      </c>
      <c r="I155" s="2" t="str">
        <f>IF(I$1&gt;$Z$4,"-",IF(COUNTIF($D$3:$D155,I$2)=$Z$3,"Full",SUMIFS($C$3:$C155,$D$3:$D155,I$2)))</f>
        <v>-</v>
      </c>
      <c r="J155" s="2" t="str">
        <f>IF(J$1&gt;$Z$4,"-",IF(COUNTIF($D$3:$D155,J$2)=$Z$3,"Full",SUMIFS($C$3:$C155,$D$3:$D155,J$2)))</f>
        <v>-</v>
      </c>
      <c r="K155" s="2" t="str">
        <f>IF(K$1&gt;$Z$4,"-",IF(COUNTIF($D$3:$D155,K$2)=$Z$3,"Full",SUMIFS($C$3:$C155,$D$3:$D155,K$2)))</f>
        <v>-</v>
      </c>
      <c r="L155" s="2" t="str">
        <f>IF(L$1&gt;$Z$4,"-",IF(COUNTIF($D$3:$D155,L$2)=$Z$3,"Full",SUMIFS($C$3:$C155,$D$3:$D155,L$2)))</f>
        <v>-</v>
      </c>
      <c r="M155" s="2" t="str">
        <f>IF(M$1&gt;$Z$4,"-",IF(COUNTIF($D$3:$D155,M$2)=$Z$3,"Full",SUMIFS($C$3:$C155,$D$3:$D155,M$2)))</f>
        <v>-</v>
      </c>
      <c r="N155" s="2" t="str">
        <f>IF(N$1&gt;$Z$4,"-",IF(COUNTIF($D$3:$D155,N$2)=$Z$3,"Full",SUMIFS($C$3:$C155,$D$3:$D155,N$2)))</f>
        <v>-</v>
      </c>
      <c r="O155" s="2" t="str">
        <f>IF(O$1&gt;$Z$4,"-",IF(COUNTIF($D$3:$D155,O$2)=$Z$3,"Full",SUMIFS($C$3:$C155,$D$3:$D155,O$2)))</f>
        <v>-</v>
      </c>
      <c r="P155" s="2" t="str">
        <f>IF(P$1&gt;$Z$4,"-",IF(COUNTIF($D$3:$D155,P$2)=$Z$3,"Full",SUMIFS($C$3:$C155,$D$3:$D155,P$2)))</f>
        <v>-</v>
      </c>
      <c r="Q155" s="2" t="str">
        <f>IF(Q$1&gt;$Z$4,"-",IF(COUNTIF($D$3:$D155,Q$2)=$Z$3,"Full",SUMIFS($C$3:$C155,$D$3:$D155,Q$2)))</f>
        <v>-</v>
      </c>
      <c r="R155" s="2" t="str">
        <f>IF(R$1&gt;$Z$4,"-",IF(COUNTIF($D$3:$D155,R$2)=$Z$3,"Full",SUMIFS($C$3:$C155,$D$3:$D155,R$2)))</f>
        <v>-</v>
      </c>
      <c r="S155" s="2" t="str">
        <f>IF(S$1&gt;$Z$4,"-",IF(COUNTIF($D$3:$D155,S$2)=$Z$3,"Full",SUMIFS($C$3:$C155,$D$3:$D155,S$2)))</f>
        <v>-</v>
      </c>
      <c r="T155" s="11" t="str">
        <f>IF(T$1&gt;$Z$4,"-",IF(COUNTIF($D$3:$D155,T$2)=$Z$3,"Full",SUMIFS($C$3:$C155,$D$3:$D155,T$2)))</f>
        <v>-</v>
      </c>
    </row>
    <row r="156" spans="1:20" x14ac:dyDescent="0.25">
      <c r="A156" s="10" t="str">
        <f t="shared" si="155"/>
        <v/>
      </c>
      <c r="D156" s="2" t="str" cm="1">
        <f t="array" aca="1" ref="D156" ca="1">IFERROR(_xlfn.XLOOKUP(MIN(E155:INDIRECT($AA$4&amp;A156+1)),E155:INDIRECT($AA$4&amp;A156+1),$E$2:INDIRECT($AA$4&amp;"$2")),"-")</f>
        <v>-</v>
      </c>
      <c r="E156" s="2" t="str">
        <f ca="1">IF(E$1&gt;$Z$4,"-",IF(COUNTIF($D$3:$D156,E$2)=$Z$3,"Full",SUMIFS($C$3:$C156,$D$3:$D156,E$2)))</f>
        <v>Full</v>
      </c>
      <c r="F156" s="2" t="str">
        <f>IF(F$1&gt;$Z$4,"-",IF(COUNTIF($D$3:$D156,F$2)=$Z$3,"Full",SUMIFS($C$3:$C156,$D$3:$D156,F$2)))</f>
        <v>-</v>
      </c>
      <c r="G156" s="2" t="str">
        <f>IF(G$1&gt;$Z$4,"-",IF(COUNTIF($D$3:$D156,G$2)=$Z$3,"Full",SUMIFS($C$3:$C156,$D$3:$D156,G$2)))</f>
        <v>-</v>
      </c>
      <c r="H156" s="2" t="str">
        <f>IF(H$1&gt;$Z$4,"-",IF(COUNTIF($D$3:$D156,H$2)=$Z$3,"Full",SUMIFS($C$3:$C156,$D$3:$D156,H$2)))</f>
        <v>-</v>
      </c>
      <c r="I156" s="2" t="str">
        <f>IF(I$1&gt;$Z$4,"-",IF(COUNTIF($D$3:$D156,I$2)=$Z$3,"Full",SUMIFS($C$3:$C156,$D$3:$D156,I$2)))</f>
        <v>-</v>
      </c>
      <c r="J156" s="2" t="str">
        <f>IF(J$1&gt;$Z$4,"-",IF(COUNTIF($D$3:$D156,J$2)=$Z$3,"Full",SUMIFS($C$3:$C156,$D$3:$D156,J$2)))</f>
        <v>-</v>
      </c>
      <c r="K156" s="2" t="str">
        <f>IF(K$1&gt;$Z$4,"-",IF(COUNTIF($D$3:$D156,K$2)=$Z$3,"Full",SUMIFS($C$3:$C156,$D$3:$D156,K$2)))</f>
        <v>-</v>
      </c>
      <c r="L156" s="2" t="str">
        <f>IF(L$1&gt;$Z$4,"-",IF(COUNTIF($D$3:$D156,L$2)=$Z$3,"Full",SUMIFS($C$3:$C156,$D$3:$D156,L$2)))</f>
        <v>-</v>
      </c>
      <c r="M156" s="2" t="str">
        <f>IF(M$1&gt;$Z$4,"-",IF(COUNTIF($D$3:$D156,M$2)=$Z$3,"Full",SUMIFS($C$3:$C156,$D$3:$D156,M$2)))</f>
        <v>-</v>
      </c>
      <c r="N156" s="2" t="str">
        <f>IF(N$1&gt;$Z$4,"-",IF(COUNTIF($D$3:$D156,N$2)=$Z$3,"Full",SUMIFS($C$3:$C156,$D$3:$D156,N$2)))</f>
        <v>-</v>
      </c>
      <c r="O156" s="2" t="str">
        <f>IF(O$1&gt;$Z$4,"-",IF(COUNTIF($D$3:$D156,O$2)=$Z$3,"Full",SUMIFS($C$3:$C156,$D$3:$D156,O$2)))</f>
        <v>-</v>
      </c>
      <c r="P156" s="2" t="str">
        <f>IF(P$1&gt;$Z$4,"-",IF(COUNTIF($D$3:$D156,P$2)=$Z$3,"Full",SUMIFS($C$3:$C156,$D$3:$D156,P$2)))</f>
        <v>-</v>
      </c>
      <c r="Q156" s="2" t="str">
        <f>IF(Q$1&gt;$Z$4,"-",IF(COUNTIF($D$3:$D156,Q$2)=$Z$3,"Full",SUMIFS($C$3:$C156,$D$3:$D156,Q$2)))</f>
        <v>-</v>
      </c>
      <c r="R156" s="2" t="str">
        <f>IF(R$1&gt;$Z$4,"-",IF(COUNTIF($D$3:$D156,R$2)=$Z$3,"Full",SUMIFS($C$3:$C156,$D$3:$D156,R$2)))</f>
        <v>-</v>
      </c>
      <c r="S156" s="2" t="str">
        <f>IF(S$1&gt;$Z$4,"-",IF(COUNTIF($D$3:$D156,S$2)=$Z$3,"Full",SUMIFS($C$3:$C156,$D$3:$D156,S$2)))</f>
        <v>-</v>
      </c>
      <c r="T156" s="11" t="str">
        <f>IF(T$1&gt;$Z$4,"-",IF(COUNTIF($D$3:$D156,T$2)=$Z$3,"Full",SUMIFS($C$3:$C156,$D$3:$D156,T$2)))</f>
        <v>-</v>
      </c>
    </row>
    <row r="157" spans="1:20" x14ac:dyDescent="0.25">
      <c r="A157" s="10" t="str">
        <f t="shared" si="155"/>
        <v/>
      </c>
      <c r="D157" s="2" t="str" cm="1">
        <f t="array" aca="1" ref="D157" ca="1">IFERROR(_xlfn.XLOOKUP(MIN(E156:INDIRECT($AA$4&amp;A157+1)),E156:INDIRECT($AA$4&amp;A157+1),$E$2:INDIRECT($AA$4&amp;"$2")),"-")</f>
        <v>-</v>
      </c>
      <c r="E157" s="2" t="str">
        <f ca="1">IF(E$1&gt;$Z$4,"-",IF(COUNTIF($D$3:$D157,E$2)=$Z$3,"Full",SUMIFS($C$3:$C157,$D$3:$D157,E$2)))</f>
        <v>Full</v>
      </c>
      <c r="F157" s="2" t="str">
        <f>IF(F$1&gt;$Z$4,"-",IF(COUNTIF($D$3:$D157,F$2)=$Z$3,"Full",SUMIFS($C$3:$C157,$D$3:$D157,F$2)))</f>
        <v>-</v>
      </c>
      <c r="G157" s="2" t="str">
        <f>IF(G$1&gt;$Z$4,"-",IF(COUNTIF($D$3:$D157,G$2)=$Z$3,"Full",SUMIFS($C$3:$C157,$D$3:$D157,G$2)))</f>
        <v>-</v>
      </c>
      <c r="H157" s="2" t="str">
        <f>IF(H$1&gt;$Z$4,"-",IF(COUNTIF($D$3:$D157,H$2)=$Z$3,"Full",SUMIFS($C$3:$C157,$D$3:$D157,H$2)))</f>
        <v>-</v>
      </c>
      <c r="I157" s="2" t="str">
        <f>IF(I$1&gt;$Z$4,"-",IF(COUNTIF($D$3:$D157,I$2)=$Z$3,"Full",SUMIFS($C$3:$C157,$D$3:$D157,I$2)))</f>
        <v>-</v>
      </c>
      <c r="J157" s="2" t="str">
        <f>IF(J$1&gt;$Z$4,"-",IF(COUNTIF($D$3:$D157,J$2)=$Z$3,"Full",SUMIFS($C$3:$C157,$D$3:$D157,J$2)))</f>
        <v>-</v>
      </c>
      <c r="K157" s="2" t="str">
        <f>IF(K$1&gt;$Z$4,"-",IF(COUNTIF($D$3:$D157,K$2)=$Z$3,"Full",SUMIFS($C$3:$C157,$D$3:$D157,K$2)))</f>
        <v>-</v>
      </c>
      <c r="L157" s="2" t="str">
        <f>IF(L$1&gt;$Z$4,"-",IF(COUNTIF($D$3:$D157,L$2)=$Z$3,"Full",SUMIFS($C$3:$C157,$D$3:$D157,L$2)))</f>
        <v>-</v>
      </c>
      <c r="M157" s="2" t="str">
        <f>IF(M$1&gt;$Z$4,"-",IF(COUNTIF($D$3:$D157,M$2)=$Z$3,"Full",SUMIFS($C$3:$C157,$D$3:$D157,M$2)))</f>
        <v>-</v>
      </c>
      <c r="N157" s="2" t="str">
        <f>IF(N$1&gt;$Z$4,"-",IF(COUNTIF($D$3:$D157,N$2)=$Z$3,"Full",SUMIFS($C$3:$C157,$D$3:$D157,N$2)))</f>
        <v>-</v>
      </c>
      <c r="O157" s="2" t="str">
        <f>IF(O$1&gt;$Z$4,"-",IF(COUNTIF($D$3:$D157,O$2)=$Z$3,"Full",SUMIFS($C$3:$C157,$D$3:$D157,O$2)))</f>
        <v>-</v>
      </c>
      <c r="P157" s="2" t="str">
        <f>IF(P$1&gt;$Z$4,"-",IF(COUNTIF($D$3:$D157,P$2)=$Z$3,"Full",SUMIFS($C$3:$C157,$D$3:$D157,P$2)))</f>
        <v>-</v>
      </c>
      <c r="Q157" s="2" t="str">
        <f>IF(Q$1&gt;$Z$4,"-",IF(COUNTIF($D$3:$D157,Q$2)=$Z$3,"Full",SUMIFS($C$3:$C157,$D$3:$D157,Q$2)))</f>
        <v>-</v>
      </c>
      <c r="R157" s="2" t="str">
        <f>IF(R$1&gt;$Z$4,"-",IF(COUNTIF($D$3:$D157,R$2)=$Z$3,"Full",SUMIFS($C$3:$C157,$D$3:$D157,R$2)))</f>
        <v>-</v>
      </c>
      <c r="S157" s="2" t="str">
        <f>IF(S$1&gt;$Z$4,"-",IF(COUNTIF($D$3:$D157,S$2)=$Z$3,"Full",SUMIFS($C$3:$C157,$D$3:$D157,S$2)))</f>
        <v>-</v>
      </c>
      <c r="T157" s="11" t="str">
        <f>IF(T$1&gt;$Z$4,"-",IF(COUNTIF($D$3:$D157,T$2)=$Z$3,"Full",SUMIFS($C$3:$C157,$D$3:$D157,T$2)))</f>
        <v>-</v>
      </c>
    </row>
    <row r="158" spans="1:20" x14ac:dyDescent="0.25">
      <c r="A158" s="10" t="str">
        <f t="shared" si="155"/>
        <v/>
      </c>
      <c r="D158" s="2" t="str" cm="1">
        <f t="array" aca="1" ref="D158" ca="1">IFERROR(_xlfn.XLOOKUP(MIN(E157:INDIRECT($AA$4&amp;A158+1)),E157:INDIRECT($AA$4&amp;A158+1),$E$2:INDIRECT($AA$4&amp;"$2")),"-")</f>
        <v>-</v>
      </c>
      <c r="E158" s="2" t="str">
        <f ca="1">IF(E$1&gt;$Z$4,"-",IF(COUNTIF($D$3:$D158,E$2)=$Z$3,"Full",SUMIFS($C$3:$C158,$D$3:$D158,E$2)))</f>
        <v>Full</v>
      </c>
      <c r="F158" s="2" t="str">
        <f>IF(F$1&gt;$Z$4,"-",IF(COUNTIF($D$3:$D158,F$2)=$Z$3,"Full",SUMIFS($C$3:$C158,$D$3:$D158,F$2)))</f>
        <v>-</v>
      </c>
      <c r="G158" s="2" t="str">
        <f>IF(G$1&gt;$Z$4,"-",IF(COUNTIF($D$3:$D158,G$2)=$Z$3,"Full",SUMIFS($C$3:$C158,$D$3:$D158,G$2)))</f>
        <v>-</v>
      </c>
      <c r="H158" s="2" t="str">
        <f>IF(H$1&gt;$Z$4,"-",IF(COUNTIF($D$3:$D158,H$2)=$Z$3,"Full",SUMIFS($C$3:$C158,$D$3:$D158,H$2)))</f>
        <v>-</v>
      </c>
      <c r="I158" s="2" t="str">
        <f>IF(I$1&gt;$Z$4,"-",IF(COUNTIF($D$3:$D158,I$2)=$Z$3,"Full",SUMIFS($C$3:$C158,$D$3:$D158,I$2)))</f>
        <v>-</v>
      </c>
      <c r="J158" s="2" t="str">
        <f>IF(J$1&gt;$Z$4,"-",IF(COUNTIF($D$3:$D158,J$2)=$Z$3,"Full",SUMIFS($C$3:$C158,$D$3:$D158,J$2)))</f>
        <v>-</v>
      </c>
      <c r="K158" s="2" t="str">
        <f>IF(K$1&gt;$Z$4,"-",IF(COUNTIF($D$3:$D158,K$2)=$Z$3,"Full",SUMIFS($C$3:$C158,$D$3:$D158,K$2)))</f>
        <v>-</v>
      </c>
      <c r="L158" s="2" t="str">
        <f>IF(L$1&gt;$Z$4,"-",IF(COUNTIF($D$3:$D158,L$2)=$Z$3,"Full",SUMIFS($C$3:$C158,$D$3:$D158,L$2)))</f>
        <v>-</v>
      </c>
      <c r="M158" s="2" t="str">
        <f>IF(M$1&gt;$Z$4,"-",IF(COUNTIF($D$3:$D158,M$2)=$Z$3,"Full",SUMIFS($C$3:$C158,$D$3:$D158,M$2)))</f>
        <v>-</v>
      </c>
      <c r="N158" s="2" t="str">
        <f>IF(N$1&gt;$Z$4,"-",IF(COUNTIF($D$3:$D158,N$2)=$Z$3,"Full",SUMIFS($C$3:$C158,$D$3:$D158,N$2)))</f>
        <v>-</v>
      </c>
      <c r="O158" s="2" t="str">
        <f>IF(O$1&gt;$Z$4,"-",IF(COUNTIF($D$3:$D158,O$2)=$Z$3,"Full",SUMIFS($C$3:$C158,$D$3:$D158,O$2)))</f>
        <v>-</v>
      </c>
      <c r="P158" s="2" t="str">
        <f>IF(P$1&gt;$Z$4,"-",IF(COUNTIF($D$3:$D158,P$2)=$Z$3,"Full",SUMIFS($C$3:$C158,$D$3:$D158,P$2)))</f>
        <v>-</v>
      </c>
      <c r="Q158" s="2" t="str">
        <f>IF(Q$1&gt;$Z$4,"-",IF(COUNTIF($D$3:$D158,Q$2)=$Z$3,"Full",SUMIFS($C$3:$C158,$D$3:$D158,Q$2)))</f>
        <v>-</v>
      </c>
      <c r="R158" s="2" t="str">
        <f>IF(R$1&gt;$Z$4,"-",IF(COUNTIF($D$3:$D158,R$2)=$Z$3,"Full",SUMIFS($C$3:$C158,$D$3:$D158,R$2)))</f>
        <v>-</v>
      </c>
      <c r="S158" s="2" t="str">
        <f>IF(S$1&gt;$Z$4,"-",IF(COUNTIF($D$3:$D158,S$2)=$Z$3,"Full",SUMIFS($C$3:$C158,$D$3:$D158,S$2)))</f>
        <v>-</v>
      </c>
      <c r="T158" s="11" t="str">
        <f>IF(T$1&gt;$Z$4,"-",IF(COUNTIF($D$3:$D158,T$2)=$Z$3,"Full",SUMIFS($C$3:$C158,$D$3:$D158,T$2)))</f>
        <v>-</v>
      </c>
    </row>
    <row r="159" spans="1:20" x14ac:dyDescent="0.25">
      <c r="A159" s="10" t="str">
        <f t="shared" si="155"/>
        <v/>
      </c>
      <c r="D159" s="2" t="str" cm="1">
        <f t="array" aca="1" ref="D159" ca="1">IFERROR(_xlfn.XLOOKUP(MIN(E158:INDIRECT($AA$4&amp;A159+1)),E158:INDIRECT($AA$4&amp;A159+1),$E$2:INDIRECT($AA$4&amp;"$2")),"-")</f>
        <v>-</v>
      </c>
      <c r="E159" s="2" t="str">
        <f ca="1">IF(E$1&gt;$Z$4,"-",IF(COUNTIF($D$3:$D159,E$2)=$Z$3,"Full",SUMIFS($C$3:$C159,$D$3:$D159,E$2)))</f>
        <v>Full</v>
      </c>
      <c r="F159" s="2" t="str">
        <f>IF(F$1&gt;$Z$4,"-",IF(COUNTIF($D$3:$D159,F$2)=$Z$3,"Full",SUMIFS($C$3:$C159,$D$3:$D159,F$2)))</f>
        <v>-</v>
      </c>
      <c r="G159" s="2" t="str">
        <f>IF(G$1&gt;$Z$4,"-",IF(COUNTIF($D$3:$D159,G$2)=$Z$3,"Full",SUMIFS($C$3:$C159,$D$3:$D159,G$2)))</f>
        <v>-</v>
      </c>
      <c r="H159" s="2" t="str">
        <f>IF(H$1&gt;$Z$4,"-",IF(COUNTIF($D$3:$D159,H$2)=$Z$3,"Full",SUMIFS($C$3:$C159,$D$3:$D159,H$2)))</f>
        <v>-</v>
      </c>
      <c r="I159" s="2" t="str">
        <f>IF(I$1&gt;$Z$4,"-",IF(COUNTIF($D$3:$D159,I$2)=$Z$3,"Full",SUMIFS($C$3:$C159,$D$3:$D159,I$2)))</f>
        <v>-</v>
      </c>
      <c r="J159" s="2" t="str">
        <f>IF(J$1&gt;$Z$4,"-",IF(COUNTIF($D$3:$D159,J$2)=$Z$3,"Full",SUMIFS($C$3:$C159,$D$3:$D159,J$2)))</f>
        <v>-</v>
      </c>
      <c r="K159" s="2" t="str">
        <f>IF(K$1&gt;$Z$4,"-",IF(COUNTIF($D$3:$D159,K$2)=$Z$3,"Full",SUMIFS($C$3:$C159,$D$3:$D159,K$2)))</f>
        <v>-</v>
      </c>
      <c r="L159" s="2" t="str">
        <f>IF(L$1&gt;$Z$4,"-",IF(COUNTIF($D$3:$D159,L$2)=$Z$3,"Full",SUMIFS($C$3:$C159,$D$3:$D159,L$2)))</f>
        <v>-</v>
      </c>
      <c r="M159" s="2" t="str">
        <f>IF(M$1&gt;$Z$4,"-",IF(COUNTIF($D$3:$D159,M$2)=$Z$3,"Full",SUMIFS($C$3:$C159,$D$3:$D159,M$2)))</f>
        <v>-</v>
      </c>
      <c r="N159" s="2" t="str">
        <f>IF(N$1&gt;$Z$4,"-",IF(COUNTIF($D$3:$D159,N$2)=$Z$3,"Full",SUMIFS($C$3:$C159,$D$3:$D159,N$2)))</f>
        <v>-</v>
      </c>
      <c r="O159" s="2" t="str">
        <f>IF(O$1&gt;$Z$4,"-",IF(COUNTIF($D$3:$D159,O$2)=$Z$3,"Full",SUMIFS($C$3:$C159,$D$3:$D159,O$2)))</f>
        <v>-</v>
      </c>
      <c r="P159" s="2" t="str">
        <f>IF(P$1&gt;$Z$4,"-",IF(COUNTIF($D$3:$D159,P$2)=$Z$3,"Full",SUMIFS($C$3:$C159,$D$3:$D159,P$2)))</f>
        <v>-</v>
      </c>
      <c r="Q159" s="2" t="str">
        <f>IF(Q$1&gt;$Z$4,"-",IF(COUNTIF($D$3:$D159,Q$2)=$Z$3,"Full",SUMIFS($C$3:$C159,$D$3:$D159,Q$2)))</f>
        <v>-</v>
      </c>
      <c r="R159" s="2" t="str">
        <f>IF(R$1&gt;$Z$4,"-",IF(COUNTIF($D$3:$D159,R$2)=$Z$3,"Full",SUMIFS($C$3:$C159,$D$3:$D159,R$2)))</f>
        <v>-</v>
      </c>
      <c r="S159" s="2" t="str">
        <f>IF(S$1&gt;$Z$4,"-",IF(COUNTIF($D$3:$D159,S$2)=$Z$3,"Full",SUMIFS($C$3:$C159,$D$3:$D159,S$2)))</f>
        <v>-</v>
      </c>
      <c r="T159" s="11" t="str">
        <f>IF(T$1&gt;$Z$4,"-",IF(COUNTIF($D$3:$D159,T$2)=$Z$3,"Full",SUMIFS($C$3:$C159,$D$3:$D159,T$2)))</f>
        <v>-</v>
      </c>
    </row>
    <row r="160" spans="1:20" x14ac:dyDescent="0.25">
      <c r="A160" s="10" t="str">
        <f t="shared" si="155"/>
        <v/>
      </c>
      <c r="D160" s="2" t="str" cm="1">
        <f t="array" aca="1" ref="D160" ca="1">IFERROR(_xlfn.XLOOKUP(MIN(E159:INDIRECT($AA$4&amp;A160+1)),E159:INDIRECT($AA$4&amp;A160+1),$E$2:INDIRECT($AA$4&amp;"$2")),"-")</f>
        <v>-</v>
      </c>
      <c r="E160" s="2" t="str">
        <f ca="1">IF(E$1&gt;$Z$4,"-",IF(COUNTIF($D$3:$D160,E$2)=$Z$3,"Full",SUMIFS($C$3:$C160,$D$3:$D160,E$2)))</f>
        <v>Full</v>
      </c>
      <c r="F160" s="2" t="str">
        <f>IF(F$1&gt;$Z$4,"-",IF(COUNTIF($D$3:$D160,F$2)=$Z$3,"Full",SUMIFS($C$3:$C160,$D$3:$D160,F$2)))</f>
        <v>-</v>
      </c>
      <c r="G160" s="2" t="str">
        <f>IF(G$1&gt;$Z$4,"-",IF(COUNTIF($D$3:$D160,G$2)=$Z$3,"Full",SUMIFS($C$3:$C160,$D$3:$D160,G$2)))</f>
        <v>-</v>
      </c>
      <c r="H160" s="2" t="str">
        <f>IF(H$1&gt;$Z$4,"-",IF(COUNTIF($D$3:$D160,H$2)=$Z$3,"Full",SUMIFS($C$3:$C160,$D$3:$D160,H$2)))</f>
        <v>-</v>
      </c>
      <c r="I160" s="2" t="str">
        <f>IF(I$1&gt;$Z$4,"-",IF(COUNTIF($D$3:$D160,I$2)=$Z$3,"Full",SUMIFS($C$3:$C160,$D$3:$D160,I$2)))</f>
        <v>-</v>
      </c>
      <c r="J160" s="2" t="str">
        <f>IF(J$1&gt;$Z$4,"-",IF(COUNTIF($D$3:$D160,J$2)=$Z$3,"Full",SUMIFS($C$3:$C160,$D$3:$D160,J$2)))</f>
        <v>-</v>
      </c>
      <c r="K160" s="2" t="str">
        <f>IF(K$1&gt;$Z$4,"-",IF(COUNTIF($D$3:$D160,K$2)=$Z$3,"Full",SUMIFS($C$3:$C160,$D$3:$D160,K$2)))</f>
        <v>-</v>
      </c>
      <c r="L160" s="2" t="str">
        <f>IF(L$1&gt;$Z$4,"-",IF(COUNTIF($D$3:$D160,L$2)=$Z$3,"Full",SUMIFS($C$3:$C160,$D$3:$D160,L$2)))</f>
        <v>-</v>
      </c>
      <c r="M160" s="2" t="str">
        <f>IF(M$1&gt;$Z$4,"-",IF(COUNTIF($D$3:$D160,M$2)=$Z$3,"Full",SUMIFS($C$3:$C160,$D$3:$D160,M$2)))</f>
        <v>-</v>
      </c>
      <c r="N160" s="2" t="str">
        <f>IF(N$1&gt;$Z$4,"-",IF(COUNTIF($D$3:$D160,N$2)=$Z$3,"Full",SUMIFS($C$3:$C160,$D$3:$D160,N$2)))</f>
        <v>-</v>
      </c>
      <c r="O160" s="2" t="str">
        <f>IF(O$1&gt;$Z$4,"-",IF(COUNTIF($D$3:$D160,O$2)=$Z$3,"Full",SUMIFS($C$3:$C160,$D$3:$D160,O$2)))</f>
        <v>-</v>
      </c>
      <c r="P160" s="2" t="str">
        <f>IF(P$1&gt;$Z$4,"-",IF(COUNTIF($D$3:$D160,P$2)=$Z$3,"Full",SUMIFS($C$3:$C160,$D$3:$D160,P$2)))</f>
        <v>-</v>
      </c>
      <c r="Q160" s="2" t="str">
        <f>IF(Q$1&gt;$Z$4,"-",IF(COUNTIF($D$3:$D160,Q$2)=$Z$3,"Full",SUMIFS($C$3:$C160,$D$3:$D160,Q$2)))</f>
        <v>-</v>
      </c>
      <c r="R160" s="2" t="str">
        <f>IF(R$1&gt;$Z$4,"-",IF(COUNTIF($D$3:$D160,R$2)=$Z$3,"Full",SUMIFS($C$3:$C160,$D$3:$D160,R$2)))</f>
        <v>-</v>
      </c>
      <c r="S160" s="2" t="str">
        <f>IF(S$1&gt;$Z$4,"-",IF(COUNTIF($D$3:$D160,S$2)=$Z$3,"Full",SUMIFS($C$3:$C160,$D$3:$D160,S$2)))</f>
        <v>-</v>
      </c>
      <c r="T160" s="11" t="str">
        <f>IF(T$1&gt;$Z$4,"-",IF(COUNTIF($D$3:$D160,T$2)=$Z$3,"Full",SUMIFS($C$3:$C160,$D$3:$D160,T$2)))</f>
        <v>-</v>
      </c>
    </row>
    <row r="161" spans="1:20" x14ac:dyDescent="0.25">
      <c r="A161" s="10" t="str">
        <f t="shared" si="155"/>
        <v/>
      </c>
      <c r="D161" s="2" t="str" cm="1">
        <f t="array" aca="1" ref="D161" ca="1">IFERROR(_xlfn.XLOOKUP(MIN(E160:INDIRECT($AA$4&amp;A161+1)),E160:INDIRECT($AA$4&amp;A161+1),$E$2:INDIRECT($AA$4&amp;"$2")),"-")</f>
        <v>-</v>
      </c>
      <c r="E161" s="2" t="str">
        <f ca="1">IF(E$1&gt;$Z$4,"-",IF(COUNTIF($D$3:$D161,E$2)=$Z$3,"Full",SUMIFS($C$3:$C161,$D$3:$D161,E$2)))</f>
        <v>Full</v>
      </c>
      <c r="F161" s="2" t="str">
        <f>IF(F$1&gt;$Z$4,"-",IF(COUNTIF($D$3:$D161,F$2)=$Z$3,"Full",SUMIFS($C$3:$C161,$D$3:$D161,F$2)))</f>
        <v>-</v>
      </c>
      <c r="G161" s="2" t="str">
        <f>IF(G$1&gt;$Z$4,"-",IF(COUNTIF($D$3:$D161,G$2)=$Z$3,"Full",SUMIFS($C$3:$C161,$D$3:$D161,G$2)))</f>
        <v>-</v>
      </c>
      <c r="H161" s="2" t="str">
        <f>IF(H$1&gt;$Z$4,"-",IF(COUNTIF($D$3:$D161,H$2)=$Z$3,"Full",SUMIFS($C$3:$C161,$D$3:$D161,H$2)))</f>
        <v>-</v>
      </c>
      <c r="I161" s="2" t="str">
        <f>IF(I$1&gt;$Z$4,"-",IF(COUNTIF($D$3:$D161,I$2)=$Z$3,"Full",SUMIFS($C$3:$C161,$D$3:$D161,I$2)))</f>
        <v>-</v>
      </c>
      <c r="J161" s="2" t="str">
        <f>IF(J$1&gt;$Z$4,"-",IF(COUNTIF($D$3:$D161,J$2)=$Z$3,"Full",SUMIFS($C$3:$C161,$D$3:$D161,J$2)))</f>
        <v>-</v>
      </c>
      <c r="K161" s="2" t="str">
        <f>IF(K$1&gt;$Z$4,"-",IF(COUNTIF($D$3:$D161,K$2)=$Z$3,"Full",SUMIFS($C$3:$C161,$D$3:$D161,K$2)))</f>
        <v>-</v>
      </c>
      <c r="L161" s="2" t="str">
        <f>IF(L$1&gt;$Z$4,"-",IF(COUNTIF($D$3:$D161,L$2)=$Z$3,"Full",SUMIFS($C$3:$C161,$D$3:$D161,L$2)))</f>
        <v>-</v>
      </c>
      <c r="M161" s="2" t="str">
        <f>IF(M$1&gt;$Z$4,"-",IF(COUNTIF($D$3:$D161,M$2)=$Z$3,"Full",SUMIFS($C$3:$C161,$D$3:$D161,M$2)))</f>
        <v>-</v>
      </c>
      <c r="N161" s="2" t="str">
        <f>IF(N$1&gt;$Z$4,"-",IF(COUNTIF($D$3:$D161,N$2)=$Z$3,"Full",SUMIFS($C$3:$C161,$D$3:$D161,N$2)))</f>
        <v>-</v>
      </c>
      <c r="O161" s="2" t="str">
        <f>IF(O$1&gt;$Z$4,"-",IF(COUNTIF($D$3:$D161,O$2)=$Z$3,"Full",SUMIFS($C$3:$C161,$D$3:$D161,O$2)))</f>
        <v>-</v>
      </c>
      <c r="P161" s="2" t="str">
        <f>IF(P$1&gt;$Z$4,"-",IF(COUNTIF($D$3:$D161,P$2)=$Z$3,"Full",SUMIFS($C$3:$C161,$D$3:$D161,P$2)))</f>
        <v>-</v>
      </c>
      <c r="Q161" s="2" t="str">
        <f>IF(Q$1&gt;$Z$4,"-",IF(COUNTIF($D$3:$D161,Q$2)=$Z$3,"Full",SUMIFS($C$3:$C161,$D$3:$D161,Q$2)))</f>
        <v>-</v>
      </c>
      <c r="R161" s="2" t="str">
        <f>IF(R$1&gt;$Z$4,"-",IF(COUNTIF($D$3:$D161,R$2)=$Z$3,"Full",SUMIFS($C$3:$C161,$D$3:$D161,R$2)))</f>
        <v>-</v>
      </c>
      <c r="S161" s="2" t="str">
        <f>IF(S$1&gt;$Z$4,"-",IF(COUNTIF($D$3:$D161,S$2)=$Z$3,"Full",SUMIFS($C$3:$C161,$D$3:$D161,S$2)))</f>
        <v>-</v>
      </c>
      <c r="T161" s="11" t="str">
        <f>IF(T$1&gt;$Z$4,"-",IF(COUNTIF($D$3:$D161,T$2)=$Z$3,"Full",SUMIFS($C$3:$C161,$D$3:$D161,T$2)))</f>
        <v>-</v>
      </c>
    </row>
    <row r="162" spans="1:20" x14ac:dyDescent="0.25">
      <c r="A162" s="10" t="str">
        <f t="shared" si="155"/>
        <v/>
      </c>
      <c r="D162" s="2" t="str" cm="1">
        <f t="array" aca="1" ref="D162" ca="1">IFERROR(_xlfn.XLOOKUP(MIN(E161:INDIRECT($AA$4&amp;A162+1)),E161:INDIRECT($AA$4&amp;A162+1),$E$2:INDIRECT($AA$4&amp;"$2")),"-")</f>
        <v>-</v>
      </c>
      <c r="E162" s="2" t="str">
        <f ca="1">IF(E$1&gt;$Z$4,"-",IF(COUNTIF($D$3:$D162,E$2)=$Z$3,"Full",SUMIFS($C$3:$C162,$D$3:$D162,E$2)))</f>
        <v>Full</v>
      </c>
      <c r="F162" s="2" t="str">
        <f>IF(F$1&gt;$Z$4,"-",IF(COUNTIF($D$3:$D162,F$2)=$Z$3,"Full",SUMIFS($C$3:$C162,$D$3:$D162,F$2)))</f>
        <v>-</v>
      </c>
      <c r="G162" s="2" t="str">
        <f>IF(G$1&gt;$Z$4,"-",IF(COUNTIF($D$3:$D162,G$2)=$Z$3,"Full",SUMIFS($C$3:$C162,$D$3:$D162,G$2)))</f>
        <v>-</v>
      </c>
      <c r="H162" s="2" t="str">
        <f>IF(H$1&gt;$Z$4,"-",IF(COUNTIF($D$3:$D162,H$2)=$Z$3,"Full",SUMIFS($C$3:$C162,$D$3:$D162,H$2)))</f>
        <v>-</v>
      </c>
      <c r="I162" s="2" t="str">
        <f>IF(I$1&gt;$Z$4,"-",IF(COUNTIF($D$3:$D162,I$2)=$Z$3,"Full",SUMIFS($C$3:$C162,$D$3:$D162,I$2)))</f>
        <v>-</v>
      </c>
      <c r="J162" s="2" t="str">
        <f>IF(J$1&gt;$Z$4,"-",IF(COUNTIF($D$3:$D162,J$2)=$Z$3,"Full",SUMIFS($C$3:$C162,$D$3:$D162,J$2)))</f>
        <v>-</v>
      </c>
      <c r="K162" s="2" t="str">
        <f>IF(K$1&gt;$Z$4,"-",IF(COUNTIF($D$3:$D162,K$2)=$Z$3,"Full",SUMIFS($C$3:$C162,$D$3:$D162,K$2)))</f>
        <v>-</v>
      </c>
      <c r="L162" s="2" t="str">
        <f>IF(L$1&gt;$Z$4,"-",IF(COUNTIF($D$3:$D162,L$2)=$Z$3,"Full",SUMIFS($C$3:$C162,$D$3:$D162,L$2)))</f>
        <v>-</v>
      </c>
      <c r="M162" s="2" t="str">
        <f>IF(M$1&gt;$Z$4,"-",IF(COUNTIF($D$3:$D162,M$2)=$Z$3,"Full",SUMIFS($C$3:$C162,$D$3:$D162,M$2)))</f>
        <v>-</v>
      </c>
      <c r="N162" s="2" t="str">
        <f>IF(N$1&gt;$Z$4,"-",IF(COUNTIF($D$3:$D162,N$2)=$Z$3,"Full",SUMIFS($C$3:$C162,$D$3:$D162,N$2)))</f>
        <v>-</v>
      </c>
      <c r="O162" s="2" t="str">
        <f>IF(O$1&gt;$Z$4,"-",IF(COUNTIF($D$3:$D162,O$2)=$Z$3,"Full",SUMIFS($C$3:$C162,$D$3:$D162,O$2)))</f>
        <v>-</v>
      </c>
      <c r="P162" s="2" t="str">
        <f>IF(P$1&gt;$Z$4,"-",IF(COUNTIF($D$3:$D162,P$2)=$Z$3,"Full",SUMIFS($C$3:$C162,$D$3:$D162,P$2)))</f>
        <v>-</v>
      </c>
      <c r="Q162" s="2" t="str">
        <f>IF(Q$1&gt;$Z$4,"-",IF(COUNTIF($D$3:$D162,Q$2)=$Z$3,"Full",SUMIFS($C$3:$C162,$D$3:$D162,Q$2)))</f>
        <v>-</v>
      </c>
      <c r="R162" s="2" t="str">
        <f>IF(R$1&gt;$Z$4,"-",IF(COUNTIF($D$3:$D162,R$2)=$Z$3,"Full",SUMIFS($C$3:$C162,$D$3:$D162,R$2)))</f>
        <v>-</v>
      </c>
      <c r="S162" s="2" t="str">
        <f>IF(S$1&gt;$Z$4,"-",IF(COUNTIF($D$3:$D162,S$2)=$Z$3,"Full",SUMIFS($C$3:$C162,$D$3:$D162,S$2)))</f>
        <v>-</v>
      </c>
      <c r="T162" s="11" t="str">
        <f>IF(T$1&gt;$Z$4,"-",IF(COUNTIF($D$3:$D162,T$2)=$Z$3,"Full",SUMIFS($C$3:$C162,$D$3:$D162,T$2)))</f>
        <v>-</v>
      </c>
    </row>
    <row r="163" spans="1:20" x14ac:dyDescent="0.25">
      <c r="A163" s="10" t="str">
        <f t="shared" si="155"/>
        <v/>
      </c>
      <c r="D163" s="2" t="str" cm="1">
        <f t="array" aca="1" ref="D163" ca="1">IFERROR(_xlfn.XLOOKUP(MIN(E162:INDIRECT($AA$4&amp;A163+1)),E162:INDIRECT($AA$4&amp;A163+1),$E$2:INDIRECT($AA$4&amp;"$2")),"-")</f>
        <v>-</v>
      </c>
      <c r="E163" s="2" t="str">
        <f ca="1">IF(E$1&gt;$Z$4,"-",IF(COUNTIF($D$3:$D163,E$2)=$Z$3,"Full",SUMIFS($C$3:$C163,$D$3:$D163,E$2)))</f>
        <v>Full</v>
      </c>
      <c r="F163" s="2" t="str">
        <f>IF(F$1&gt;$Z$4,"-",IF(COUNTIF($D$3:$D163,F$2)=$Z$3,"Full",SUMIFS($C$3:$C163,$D$3:$D163,F$2)))</f>
        <v>-</v>
      </c>
      <c r="G163" s="2" t="str">
        <f>IF(G$1&gt;$Z$4,"-",IF(COUNTIF($D$3:$D163,G$2)=$Z$3,"Full",SUMIFS($C$3:$C163,$D$3:$D163,G$2)))</f>
        <v>-</v>
      </c>
      <c r="H163" s="2" t="str">
        <f>IF(H$1&gt;$Z$4,"-",IF(COUNTIF($D$3:$D163,H$2)=$Z$3,"Full",SUMIFS($C$3:$C163,$D$3:$D163,H$2)))</f>
        <v>-</v>
      </c>
      <c r="I163" s="2" t="str">
        <f>IF(I$1&gt;$Z$4,"-",IF(COUNTIF($D$3:$D163,I$2)=$Z$3,"Full",SUMIFS($C$3:$C163,$D$3:$D163,I$2)))</f>
        <v>-</v>
      </c>
      <c r="J163" s="2" t="str">
        <f>IF(J$1&gt;$Z$4,"-",IF(COUNTIF($D$3:$D163,J$2)=$Z$3,"Full",SUMIFS($C$3:$C163,$D$3:$D163,J$2)))</f>
        <v>-</v>
      </c>
      <c r="K163" s="2" t="str">
        <f>IF(K$1&gt;$Z$4,"-",IF(COUNTIF($D$3:$D163,K$2)=$Z$3,"Full",SUMIFS($C$3:$C163,$D$3:$D163,K$2)))</f>
        <v>-</v>
      </c>
      <c r="L163" s="2" t="str">
        <f>IF(L$1&gt;$Z$4,"-",IF(COUNTIF($D$3:$D163,L$2)=$Z$3,"Full",SUMIFS($C$3:$C163,$D$3:$D163,L$2)))</f>
        <v>-</v>
      </c>
      <c r="M163" s="2" t="str">
        <f>IF(M$1&gt;$Z$4,"-",IF(COUNTIF($D$3:$D163,M$2)=$Z$3,"Full",SUMIFS($C$3:$C163,$D$3:$D163,M$2)))</f>
        <v>-</v>
      </c>
      <c r="N163" s="2" t="str">
        <f>IF(N$1&gt;$Z$4,"-",IF(COUNTIF($D$3:$D163,N$2)=$Z$3,"Full",SUMIFS($C$3:$C163,$D$3:$D163,N$2)))</f>
        <v>-</v>
      </c>
      <c r="O163" s="2" t="str">
        <f>IF(O$1&gt;$Z$4,"-",IF(COUNTIF($D$3:$D163,O$2)=$Z$3,"Full",SUMIFS($C$3:$C163,$D$3:$D163,O$2)))</f>
        <v>-</v>
      </c>
      <c r="P163" s="2" t="str">
        <f>IF(P$1&gt;$Z$4,"-",IF(COUNTIF($D$3:$D163,P$2)=$Z$3,"Full",SUMIFS($C$3:$C163,$D$3:$D163,P$2)))</f>
        <v>-</v>
      </c>
      <c r="Q163" s="2" t="str">
        <f>IF(Q$1&gt;$Z$4,"-",IF(COUNTIF($D$3:$D163,Q$2)=$Z$3,"Full",SUMIFS($C$3:$C163,$D$3:$D163,Q$2)))</f>
        <v>-</v>
      </c>
      <c r="R163" s="2" t="str">
        <f>IF(R$1&gt;$Z$4,"-",IF(COUNTIF($D$3:$D163,R$2)=$Z$3,"Full",SUMIFS($C$3:$C163,$D$3:$D163,R$2)))</f>
        <v>-</v>
      </c>
      <c r="S163" s="2" t="str">
        <f>IF(S$1&gt;$Z$4,"-",IF(COUNTIF($D$3:$D163,S$2)=$Z$3,"Full",SUMIFS($C$3:$C163,$D$3:$D163,S$2)))</f>
        <v>-</v>
      </c>
      <c r="T163" s="11" t="str">
        <f>IF(T$1&gt;$Z$4,"-",IF(COUNTIF($D$3:$D163,T$2)=$Z$3,"Full",SUMIFS($C$3:$C163,$D$3:$D163,T$2)))</f>
        <v>-</v>
      </c>
    </row>
    <row r="164" spans="1:20" x14ac:dyDescent="0.25">
      <c r="A164" s="10" t="str">
        <f t="shared" si="155"/>
        <v/>
      </c>
      <c r="D164" s="2" t="str" cm="1">
        <f t="array" aca="1" ref="D164" ca="1">IFERROR(_xlfn.XLOOKUP(MIN(E163:INDIRECT($AA$4&amp;A164+1)),E163:INDIRECT($AA$4&amp;A164+1),$E$2:INDIRECT($AA$4&amp;"$2")),"-")</f>
        <v>-</v>
      </c>
      <c r="E164" s="2" t="str">
        <f ca="1">IF(E$1&gt;$Z$4,"-",IF(COUNTIF($D$3:$D164,E$2)=$Z$3,"Full",SUMIFS($C$3:$C164,$D$3:$D164,E$2)))</f>
        <v>Full</v>
      </c>
      <c r="F164" s="2" t="str">
        <f>IF(F$1&gt;$Z$4,"-",IF(COUNTIF($D$3:$D164,F$2)=$Z$3,"Full",SUMIFS($C$3:$C164,$D$3:$D164,F$2)))</f>
        <v>-</v>
      </c>
      <c r="G164" s="2" t="str">
        <f>IF(G$1&gt;$Z$4,"-",IF(COUNTIF($D$3:$D164,G$2)=$Z$3,"Full",SUMIFS($C$3:$C164,$D$3:$D164,G$2)))</f>
        <v>-</v>
      </c>
      <c r="H164" s="2" t="str">
        <f>IF(H$1&gt;$Z$4,"-",IF(COUNTIF($D$3:$D164,H$2)=$Z$3,"Full",SUMIFS($C$3:$C164,$D$3:$D164,H$2)))</f>
        <v>-</v>
      </c>
      <c r="I164" s="2" t="str">
        <f>IF(I$1&gt;$Z$4,"-",IF(COUNTIF($D$3:$D164,I$2)=$Z$3,"Full",SUMIFS($C$3:$C164,$D$3:$D164,I$2)))</f>
        <v>-</v>
      </c>
      <c r="J164" s="2" t="str">
        <f>IF(J$1&gt;$Z$4,"-",IF(COUNTIF($D$3:$D164,J$2)=$Z$3,"Full",SUMIFS($C$3:$C164,$D$3:$D164,J$2)))</f>
        <v>-</v>
      </c>
      <c r="K164" s="2" t="str">
        <f>IF(K$1&gt;$Z$4,"-",IF(COUNTIF($D$3:$D164,K$2)=$Z$3,"Full",SUMIFS($C$3:$C164,$D$3:$D164,K$2)))</f>
        <v>-</v>
      </c>
      <c r="L164" s="2" t="str">
        <f>IF(L$1&gt;$Z$4,"-",IF(COUNTIF($D$3:$D164,L$2)=$Z$3,"Full",SUMIFS($C$3:$C164,$D$3:$D164,L$2)))</f>
        <v>-</v>
      </c>
      <c r="M164" s="2" t="str">
        <f>IF(M$1&gt;$Z$4,"-",IF(COUNTIF($D$3:$D164,M$2)=$Z$3,"Full",SUMIFS($C$3:$C164,$D$3:$D164,M$2)))</f>
        <v>-</v>
      </c>
      <c r="N164" s="2" t="str">
        <f>IF(N$1&gt;$Z$4,"-",IF(COUNTIF($D$3:$D164,N$2)=$Z$3,"Full",SUMIFS($C$3:$C164,$D$3:$D164,N$2)))</f>
        <v>-</v>
      </c>
      <c r="O164" s="2" t="str">
        <f>IF(O$1&gt;$Z$4,"-",IF(COUNTIF($D$3:$D164,O$2)=$Z$3,"Full",SUMIFS($C$3:$C164,$D$3:$D164,O$2)))</f>
        <v>-</v>
      </c>
      <c r="P164" s="2" t="str">
        <f>IF(P$1&gt;$Z$4,"-",IF(COUNTIF($D$3:$D164,P$2)=$Z$3,"Full",SUMIFS($C$3:$C164,$D$3:$D164,P$2)))</f>
        <v>-</v>
      </c>
      <c r="Q164" s="2" t="str">
        <f>IF(Q$1&gt;$Z$4,"-",IF(COUNTIF($D$3:$D164,Q$2)=$Z$3,"Full",SUMIFS($C$3:$C164,$D$3:$D164,Q$2)))</f>
        <v>-</v>
      </c>
      <c r="R164" s="2" t="str">
        <f>IF(R$1&gt;$Z$4,"-",IF(COUNTIF($D$3:$D164,R$2)=$Z$3,"Full",SUMIFS($C$3:$C164,$D$3:$D164,R$2)))</f>
        <v>-</v>
      </c>
      <c r="S164" s="2" t="str">
        <f>IF(S$1&gt;$Z$4,"-",IF(COUNTIF($D$3:$D164,S$2)=$Z$3,"Full",SUMIFS($C$3:$C164,$D$3:$D164,S$2)))</f>
        <v>-</v>
      </c>
      <c r="T164" s="11" t="str">
        <f>IF(T$1&gt;$Z$4,"-",IF(COUNTIF($D$3:$D164,T$2)=$Z$3,"Full",SUMIFS($C$3:$C164,$D$3:$D164,T$2)))</f>
        <v>-</v>
      </c>
    </row>
    <row r="165" spans="1:20" x14ac:dyDescent="0.25">
      <c r="A165" s="10" t="str">
        <f t="shared" si="155"/>
        <v/>
      </c>
      <c r="D165" s="2" t="str" cm="1">
        <f t="array" aca="1" ref="D165" ca="1">IFERROR(_xlfn.XLOOKUP(MIN(E164:INDIRECT($AA$4&amp;A165+1)),E164:INDIRECT($AA$4&amp;A165+1),$E$2:INDIRECT($AA$4&amp;"$2")),"-")</f>
        <v>-</v>
      </c>
      <c r="E165" s="2" t="str">
        <f ca="1">IF(E$1&gt;$Z$4,"-",IF(COUNTIF($D$3:$D165,E$2)=$Z$3,"Full",SUMIFS($C$3:$C165,$D$3:$D165,E$2)))</f>
        <v>Full</v>
      </c>
      <c r="F165" s="2" t="str">
        <f>IF(F$1&gt;$Z$4,"-",IF(COUNTIF($D$3:$D165,F$2)=$Z$3,"Full",SUMIFS($C$3:$C165,$D$3:$D165,F$2)))</f>
        <v>-</v>
      </c>
      <c r="G165" s="2" t="str">
        <f>IF(G$1&gt;$Z$4,"-",IF(COUNTIF($D$3:$D165,G$2)=$Z$3,"Full",SUMIFS($C$3:$C165,$D$3:$D165,G$2)))</f>
        <v>-</v>
      </c>
      <c r="H165" s="2" t="str">
        <f>IF(H$1&gt;$Z$4,"-",IF(COUNTIF($D$3:$D165,H$2)=$Z$3,"Full",SUMIFS($C$3:$C165,$D$3:$D165,H$2)))</f>
        <v>-</v>
      </c>
      <c r="I165" s="2" t="str">
        <f>IF(I$1&gt;$Z$4,"-",IF(COUNTIF($D$3:$D165,I$2)=$Z$3,"Full",SUMIFS($C$3:$C165,$D$3:$D165,I$2)))</f>
        <v>-</v>
      </c>
      <c r="J165" s="2" t="str">
        <f>IF(J$1&gt;$Z$4,"-",IF(COUNTIF($D$3:$D165,J$2)=$Z$3,"Full",SUMIFS($C$3:$C165,$D$3:$D165,J$2)))</f>
        <v>-</v>
      </c>
      <c r="K165" s="2" t="str">
        <f>IF(K$1&gt;$Z$4,"-",IF(COUNTIF($D$3:$D165,K$2)=$Z$3,"Full",SUMIFS($C$3:$C165,$D$3:$D165,K$2)))</f>
        <v>-</v>
      </c>
      <c r="L165" s="2" t="str">
        <f>IF(L$1&gt;$Z$4,"-",IF(COUNTIF($D$3:$D165,L$2)=$Z$3,"Full",SUMIFS($C$3:$C165,$D$3:$D165,L$2)))</f>
        <v>-</v>
      </c>
      <c r="M165" s="2" t="str">
        <f>IF(M$1&gt;$Z$4,"-",IF(COUNTIF($D$3:$D165,M$2)=$Z$3,"Full",SUMIFS($C$3:$C165,$D$3:$D165,M$2)))</f>
        <v>-</v>
      </c>
      <c r="N165" s="2" t="str">
        <f>IF(N$1&gt;$Z$4,"-",IF(COUNTIF($D$3:$D165,N$2)=$Z$3,"Full",SUMIFS($C$3:$C165,$D$3:$D165,N$2)))</f>
        <v>-</v>
      </c>
      <c r="O165" s="2" t="str">
        <f>IF(O$1&gt;$Z$4,"-",IF(COUNTIF($D$3:$D165,O$2)=$Z$3,"Full",SUMIFS($C$3:$C165,$D$3:$D165,O$2)))</f>
        <v>-</v>
      </c>
      <c r="P165" s="2" t="str">
        <f>IF(P$1&gt;$Z$4,"-",IF(COUNTIF($D$3:$D165,P$2)=$Z$3,"Full",SUMIFS($C$3:$C165,$D$3:$D165,P$2)))</f>
        <v>-</v>
      </c>
      <c r="Q165" s="2" t="str">
        <f>IF(Q$1&gt;$Z$4,"-",IF(COUNTIF($D$3:$D165,Q$2)=$Z$3,"Full",SUMIFS($C$3:$C165,$D$3:$D165,Q$2)))</f>
        <v>-</v>
      </c>
      <c r="R165" s="2" t="str">
        <f>IF(R$1&gt;$Z$4,"-",IF(COUNTIF($D$3:$D165,R$2)=$Z$3,"Full",SUMIFS($C$3:$C165,$D$3:$D165,R$2)))</f>
        <v>-</v>
      </c>
      <c r="S165" s="2" t="str">
        <f>IF(S$1&gt;$Z$4,"-",IF(COUNTIF($D$3:$D165,S$2)=$Z$3,"Full",SUMIFS($C$3:$C165,$D$3:$D165,S$2)))</f>
        <v>-</v>
      </c>
      <c r="T165" s="11" t="str">
        <f>IF(T$1&gt;$Z$4,"-",IF(COUNTIF($D$3:$D165,T$2)=$Z$3,"Full",SUMIFS($C$3:$C165,$D$3:$D165,T$2)))</f>
        <v>-</v>
      </c>
    </row>
    <row r="166" spans="1:20" x14ac:dyDescent="0.25">
      <c r="A166" s="10" t="str">
        <f t="shared" si="155"/>
        <v/>
      </c>
      <c r="D166" s="2" t="str" cm="1">
        <f t="array" aca="1" ref="D166" ca="1">IFERROR(_xlfn.XLOOKUP(MIN(E165:INDIRECT($AA$4&amp;A166+1)),E165:INDIRECT($AA$4&amp;A166+1),$E$2:INDIRECT($AA$4&amp;"$2")),"-")</f>
        <v>-</v>
      </c>
      <c r="E166" s="2" t="str">
        <f ca="1">IF(E$1&gt;$Z$4,"-",IF(COUNTIF($D$3:$D166,E$2)=$Z$3,"Full",SUMIFS($C$3:$C166,$D$3:$D166,E$2)))</f>
        <v>Full</v>
      </c>
      <c r="F166" s="2" t="str">
        <f>IF(F$1&gt;$Z$4,"-",IF(COUNTIF($D$3:$D166,F$2)=$Z$3,"Full",SUMIFS($C$3:$C166,$D$3:$D166,F$2)))</f>
        <v>-</v>
      </c>
      <c r="G166" s="2" t="str">
        <f>IF(G$1&gt;$Z$4,"-",IF(COUNTIF($D$3:$D166,G$2)=$Z$3,"Full",SUMIFS($C$3:$C166,$D$3:$D166,G$2)))</f>
        <v>-</v>
      </c>
      <c r="H166" s="2" t="str">
        <f>IF(H$1&gt;$Z$4,"-",IF(COUNTIF($D$3:$D166,H$2)=$Z$3,"Full",SUMIFS($C$3:$C166,$D$3:$D166,H$2)))</f>
        <v>-</v>
      </c>
      <c r="I166" s="2" t="str">
        <f>IF(I$1&gt;$Z$4,"-",IF(COUNTIF($D$3:$D166,I$2)=$Z$3,"Full",SUMIFS($C$3:$C166,$D$3:$D166,I$2)))</f>
        <v>-</v>
      </c>
      <c r="J166" s="2" t="str">
        <f>IF(J$1&gt;$Z$4,"-",IF(COUNTIF($D$3:$D166,J$2)=$Z$3,"Full",SUMIFS($C$3:$C166,$D$3:$D166,J$2)))</f>
        <v>-</v>
      </c>
      <c r="K166" s="2" t="str">
        <f>IF(K$1&gt;$Z$4,"-",IF(COUNTIF($D$3:$D166,K$2)=$Z$3,"Full",SUMIFS($C$3:$C166,$D$3:$D166,K$2)))</f>
        <v>-</v>
      </c>
      <c r="L166" s="2" t="str">
        <f>IF(L$1&gt;$Z$4,"-",IF(COUNTIF($D$3:$D166,L$2)=$Z$3,"Full",SUMIFS($C$3:$C166,$D$3:$D166,L$2)))</f>
        <v>-</v>
      </c>
      <c r="M166" s="2" t="str">
        <f>IF(M$1&gt;$Z$4,"-",IF(COUNTIF($D$3:$D166,M$2)=$Z$3,"Full",SUMIFS($C$3:$C166,$D$3:$D166,M$2)))</f>
        <v>-</v>
      </c>
      <c r="N166" s="2" t="str">
        <f>IF(N$1&gt;$Z$4,"-",IF(COUNTIF($D$3:$D166,N$2)=$Z$3,"Full",SUMIFS($C$3:$C166,$D$3:$D166,N$2)))</f>
        <v>-</v>
      </c>
      <c r="O166" s="2" t="str">
        <f>IF(O$1&gt;$Z$4,"-",IF(COUNTIF($D$3:$D166,O$2)=$Z$3,"Full",SUMIFS($C$3:$C166,$D$3:$D166,O$2)))</f>
        <v>-</v>
      </c>
      <c r="P166" s="2" t="str">
        <f>IF(P$1&gt;$Z$4,"-",IF(COUNTIF($D$3:$D166,P$2)=$Z$3,"Full",SUMIFS($C$3:$C166,$D$3:$D166,P$2)))</f>
        <v>-</v>
      </c>
      <c r="Q166" s="2" t="str">
        <f>IF(Q$1&gt;$Z$4,"-",IF(COUNTIF($D$3:$D166,Q$2)=$Z$3,"Full",SUMIFS($C$3:$C166,$D$3:$D166,Q$2)))</f>
        <v>-</v>
      </c>
      <c r="R166" s="2" t="str">
        <f>IF(R$1&gt;$Z$4,"-",IF(COUNTIF($D$3:$D166,R$2)=$Z$3,"Full",SUMIFS($C$3:$C166,$D$3:$D166,R$2)))</f>
        <v>-</v>
      </c>
      <c r="S166" s="2" t="str">
        <f>IF(S$1&gt;$Z$4,"-",IF(COUNTIF($D$3:$D166,S$2)=$Z$3,"Full",SUMIFS($C$3:$C166,$D$3:$D166,S$2)))</f>
        <v>-</v>
      </c>
      <c r="T166" s="11" t="str">
        <f>IF(T$1&gt;$Z$4,"-",IF(COUNTIF($D$3:$D166,T$2)=$Z$3,"Full",SUMIFS($C$3:$C166,$D$3:$D166,T$2)))</f>
        <v>-</v>
      </c>
    </row>
    <row r="167" spans="1:20" x14ac:dyDescent="0.25">
      <c r="A167" s="10" t="str">
        <f t="shared" si="155"/>
        <v/>
      </c>
      <c r="D167" s="2" t="str" cm="1">
        <f t="array" aca="1" ref="D167" ca="1">IFERROR(_xlfn.XLOOKUP(MIN(E166:INDIRECT($AA$4&amp;A167+1)),E166:INDIRECT($AA$4&amp;A167+1),$E$2:INDIRECT($AA$4&amp;"$2")),"-")</f>
        <v>-</v>
      </c>
      <c r="E167" s="2" t="str">
        <f ca="1">IF(E$1&gt;$Z$4,"-",IF(COUNTIF($D$3:$D167,E$2)=$Z$3,"Full",SUMIFS($C$3:$C167,$D$3:$D167,E$2)))</f>
        <v>Full</v>
      </c>
      <c r="F167" s="2" t="str">
        <f>IF(F$1&gt;$Z$4,"-",IF(COUNTIF($D$3:$D167,F$2)=$Z$3,"Full",SUMIFS($C$3:$C167,$D$3:$D167,F$2)))</f>
        <v>-</v>
      </c>
      <c r="G167" s="2" t="str">
        <f>IF(G$1&gt;$Z$4,"-",IF(COUNTIF($D$3:$D167,G$2)=$Z$3,"Full",SUMIFS($C$3:$C167,$D$3:$D167,G$2)))</f>
        <v>-</v>
      </c>
      <c r="H167" s="2" t="str">
        <f>IF(H$1&gt;$Z$4,"-",IF(COUNTIF($D$3:$D167,H$2)=$Z$3,"Full",SUMIFS($C$3:$C167,$D$3:$D167,H$2)))</f>
        <v>-</v>
      </c>
      <c r="I167" s="2" t="str">
        <f>IF(I$1&gt;$Z$4,"-",IF(COUNTIF($D$3:$D167,I$2)=$Z$3,"Full",SUMIFS($C$3:$C167,$D$3:$D167,I$2)))</f>
        <v>-</v>
      </c>
      <c r="J167" s="2" t="str">
        <f>IF(J$1&gt;$Z$4,"-",IF(COUNTIF($D$3:$D167,J$2)=$Z$3,"Full",SUMIFS($C$3:$C167,$D$3:$D167,J$2)))</f>
        <v>-</v>
      </c>
      <c r="K167" s="2" t="str">
        <f>IF(K$1&gt;$Z$4,"-",IF(COUNTIF($D$3:$D167,K$2)=$Z$3,"Full",SUMIFS($C$3:$C167,$D$3:$D167,K$2)))</f>
        <v>-</v>
      </c>
      <c r="L167" s="2" t="str">
        <f>IF(L$1&gt;$Z$4,"-",IF(COUNTIF($D$3:$D167,L$2)=$Z$3,"Full",SUMIFS($C$3:$C167,$D$3:$D167,L$2)))</f>
        <v>-</v>
      </c>
      <c r="M167" s="2" t="str">
        <f>IF(M$1&gt;$Z$4,"-",IF(COUNTIF($D$3:$D167,M$2)=$Z$3,"Full",SUMIFS($C$3:$C167,$D$3:$D167,M$2)))</f>
        <v>-</v>
      </c>
      <c r="N167" s="2" t="str">
        <f>IF(N$1&gt;$Z$4,"-",IF(COUNTIF($D$3:$D167,N$2)=$Z$3,"Full",SUMIFS($C$3:$C167,$D$3:$D167,N$2)))</f>
        <v>-</v>
      </c>
      <c r="O167" s="2" t="str">
        <f>IF(O$1&gt;$Z$4,"-",IF(COUNTIF($D$3:$D167,O$2)=$Z$3,"Full",SUMIFS($C$3:$C167,$D$3:$D167,O$2)))</f>
        <v>-</v>
      </c>
      <c r="P167" s="2" t="str">
        <f>IF(P$1&gt;$Z$4,"-",IF(COUNTIF($D$3:$D167,P$2)=$Z$3,"Full",SUMIFS($C$3:$C167,$D$3:$D167,P$2)))</f>
        <v>-</v>
      </c>
      <c r="Q167" s="2" t="str">
        <f>IF(Q$1&gt;$Z$4,"-",IF(COUNTIF($D$3:$D167,Q$2)=$Z$3,"Full",SUMIFS($C$3:$C167,$D$3:$D167,Q$2)))</f>
        <v>-</v>
      </c>
      <c r="R167" s="2" t="str">
        <f>IF(R$1&gt;$Z$4,"-",IF(COUNTIF($D$3:$D167,R$2)=$Z$3,"Full",SUMIFS($C$3:$C167,$D$3:$D167,R$2)))</f>
        <v>-</v>
      </c>
      <c r="S167" s="2" t="str">
        <f>IF(S$1&gt;$Z$4,"-",IF(COUNTIF($D$3:$D167,S$2)=$Z$3,"Full",SUMIFS($C$3:$C167,$D$3:$D167,S$2)))</f>
        <v>-</v>
      </c>
      <c r="T167" s="11" t="str">
        <f>IF(T$1&gt;$Z$4,"-",IF(COUNTIF($D$3:$D167,T$2)=$Z$3,"Full",SUMIFS($C$3:$C167,$D$3:$D167,T$2)))</f>
        <v>-</v>
      </c>
    </row>
    <row r="168" spans="1:20" x14ac:dyDescent="0.25">
      <c r="A168" s="10" t="str">
        <f t="shared" si="155"/>
        <v/>
      </c>
      <c r="D168" s="2" t="str" cm="1">
        <f t="array" aca="1" ref="D168" ca="1">IFERROR(_xlfn.XLOOKUP(MIN(E167:INDIRECT($AA$4&amp;A168+1)),E167:INDIRECT($AA$4&amp;A168+1),$E$2:INDIRECT($AA$4&amp;"$2")),"-")</f>
        <v>-</v>
      </c>
      <c r="E168" s="2" t="str">
        <f ca="1">IF(E$1&gt;$Z$4,"-",IF(COUNTIF($D$3:$D168,E$2)=$Z$3,"Full",SUMIFS($C$3:$C168,$D$3:$D168,E$2)))</f>
        <v>Full</v>
      </c>
      <c r="F168" s="2" t="str">
        <f>IF(F$1&gt;$Z$4,"-",IF(COUNTIF($D$3:$D168,F$2)=$Z$3,"Full",SUMIFS($C$3:$C168,$D$3:$D168,F$2)))</f>
        <v>-</v>
      </c>
      <c r="G168" s="2" t="str">
        <f>IF(G$1&gt;$Z$4,"-",IF(COUNTIF($D$3:$D168,G$2)=$Z$3,"Full",SUMIFS($C$3:$C168,$D$3:$D168,G$2)))</f>
        <v>-</v>
      </c>
      <c r="H168" s="2" t="str">
        <f>IF(H$1&gt;$Z$4,"-",IF(COUNTIF($D$3:$D168,H$2)=$Z$3,"Full",SUMIFS($C$3:$C168,$D$3:$D168,H$2)))</f>
        <v>-</v>
      </c>
      <c r="I168" s="2" t="str">
        <f>IF(I$1&gt;$Z$4,"-",IF(COUNTIF($D$3:$D168,I$2)=$Z$3,"Full",SUMIFS($C$3:$C168,$D$3:$D168,I$2)))</f>
        <v>-</v>
      </c>
      <c r="J168" s="2" t="str">
        <f>IF(J$1&gt;$Z$4,"-",IF(COUNTIF($D$3:$D168,J$2)=$Z$3,"Full",SUMIFS($C$3:$C168,$D$3:$D168,J$2)))</f>
        <v>-</v>
      </c>
      <c r="K168" s="2" t="str">
        <f>IF(K$1&gt;$Z$4,"-",IF(COUNTIF($D$3:$D168,K$2)=$Z$3,"Full",SUMIFS($C$3:$C168,$D$3:$D168,K$2)))</f>
        <v>-</v>
      </c>
      <c r="L168" s="2" t="str">
        <f>IF(L$1&gt;$Z$4,"-",IF(COUNTIF($D$3:$D168,L$2)=$Z$3,"Full",SUMIFS($C$3:$C168,$D$3:$D168,L$2)))</f>
        <v>-</v>
      </c>
      <c r="M168" s="2" t="str">
        <f>IF(M$1&gt;$Z$4,"-",IF(COUNTIF($D$3:$D168,M$2)=$Z$3,"Full",SUMIFS($C$3:$C168,$D$3:$D168,M$2)))</f>
        <v>-</v>
      </c>
      <c r="N168" s="2" t="str">
        <f>IF(N$1&gt;$Z$4,"-",IF(COUNTIF($D$3:$D168,N$2)=$Z$3,"Full",SUMIFS($C$3:$C168,$D$3:$D168,N$2)))</f>
        <v>-</v>
      </c>
      <c r="O168" s="2" t="str">
        <f>IF(O$1&gt;$Z$4,"-",IF(COUNTIF($D$3:$D168,O$2)=$Z$3,"Full",SUMIFS($C$3:$C168,$D$3:$D168,O$2)))</f>
        <v>-</v>
      </c>
      <c r="P168" s="2" t="str">
        <f>IF(P$1&gt;$Z$4,"-",IF(COUNTIF($D$3:$D168,P$2)=$Z$3,"Full",SUMIFS($C$3:$C168,$D$3:$D168,P$2)))</f>
        <v>-</v>
      </c>
      <c r="Q168" s="2" t="str">
        <f>IF(Q$1&gt;$Z$4,"-",IF(COUNTIF($D$3:$D168,Q$2)=$Z$3,"Full",SUMIFS($C$3:$C168,$D$3:$D168,Q$2)))</f>
        <v>-</v>
      </c>
      <c r="R168" s="2" t="str">
        <f>IF(R$1&gt;$Z$4,"-",IF(COUNTIF($D$3:$D168,R$2)=$Z$3,"Full",SUMIFS($C$3:$C168,$D$3:$D168,R$2)))</f>
        <v>-</v>
      </c>
      <c r="S168" s="2" t="str">
        <f>IF(S$1&gt;$Z$4,"-",IF(COUNTIF($D$3:$D168,S$2)=$Z$3,"Full",SUMIFS($C$3:$C168,$D$3:$D168,S$2)))</f>
        <v>-</v>
      </c>
      <c r="T168" s="11" t="str">
        <f>IF(T$1&gt;$Z$4,"-",IF(COUNTIF($D$3:$D168,T$2)=$Z$3,"Full",SUMIFS($C$3:$C168,$D$3:$D168,T$2)))</f>
        <v>-</v>
      </c>
    </row>
    <row r="169" spans="1:20" x14ac:dyDescent="0.25">
      <c r="A169" s="10" t="str">
        <f t="shared" si="155"/>
        <v/>
      </c>
      <c r="D169" s="2" t="str" cm="1">
        <f t="array" aca="1" ref="D169" ca="1">IFERROR(_xlfn.XLOOKUP(MIN(E168:INDIRECT($AA$4&amp;A169+1)),E168:INDIRECT($AA$4&amp;A169+1),$E$2:INDIRECT($AA$4&amp;"$2")),"-")</f>
        <v>-</v>
      </c>
      <c r="E169" s="2" t="str">
        <f ca="1">IF(E$1&gt;$Z$4,"-",IF(COUNTIF($D$3:$D169,E$2)=$Z$3,"Full",SUMIFS($C$3:$C169,$D$3:$D169,E$2)))</f>
        <v>Full</v>
      </c>
      <c r="F169" s="2" t="str">
        <f>IF(F$1&gt;$Z$4,"-",IF(COUNTIF($D$3:$D169,F$2)=$Z$3,"Full",SUMIFS($C$3:$C169,$D$3:$D169,F$2)))</f>
        <v>-</v>
      </c>
      <c r="G169" s="2" t="str">
        <f>IF(G$1&gt;$Z$4,"-",IF(COUNTIF($D$3:$D169,G$2)=$Z$3,"Full",SUMIFS($C$3:$C169,$D$3:$D169,G$2)))</f>
        <v>-</v>
      </c>
      <c r="H169" s="2" t="str">
        <f>IF(H$1&gt;$Z$4,"-",IF(COUNTIF($D$3:$D169,H$2)=$Z$3,"Full",SUMIFS($C$3:$C169,$D$3:$D169,H$2)))</f>
        <v>-</v>
      </c>
      <c r="I169" s="2" t="str">
        <f>IF(I$1&gt;$Z$4,"-",IF(COUNTIF($D$3:$D169,I$2)=$Z$3,"Full",SUMIFS($C$3:$C169,$D$3:$D169,I$2)))</f>
        <v>-</v>
      </c>
      <c r="J169" s="2" t="str">
        <f>IF(J$1&gt;$Z$4,"-",IF(COUNTIF($D$3:$D169,J$2)=$Z$3,"Full",SUMIFS($C$3:$C169,$D$3:$D169,J$2)))</f>
        <v>-</v>
      </c>
      <c r="K169" s="2" t="str">
        <f>IF(K$1&gt;$Z$4,"-",IF(COUNTIF($D$3:$D169,K$2)=$Z$3,"Full",SUMIFS($C$3:$C169,$D$3:$D169,K$2)))</f>
        <v>-</v>
      </c>
      <c r="L169" s="2" t="str">
        <f>IF(L$1&gt;$Z$4,"-",IF(COUNTIF($D$3:$D169,L$2)=$Z$3,"Full",SUMIFS($C$3:$C169,$D$3:$D169,L$2)))</f>
        <v>-</v>
      </c>
      <c r="M169" s="2" t="str">
        <f>IF(M$1&gt;$Z$4,"-",IF(COUNTIF($D$3:$D169,M$2)=$Z$3,"Full",SUMIFS($C$3:$C169,$D$3:$D169,M$2)))</f>
        <v>-</v>
      </c>
      <c r="N169" s="2" t="str">
        <f>IF(N$1&gt;$Z$4,"-",IF(COUNTIF($D$3:$D169,N$2)=$Z$3,"Full",SUMIFS($C$3:$C169,$D$3:$D169,N$2)))</f>
        <v>-</v>
      </c>
      <c r="O169" s="2" t="str">
        <f>IF(O$1&gt;$Z$4,"-",IF(COUNTIF($D$3:$D169,O$2)=$Z$3,"Full",SUMIFS($C$3:$C169,$D$3:$D169,O$2)))</f>
        <v>-</v>
      </c>
      <c r="P169" s="2" t="str">
        <f>IF(P$1&gt;$Z$4,"-",IF(COUNTIF($D$3:$D169,P$2)=$Z$3,"Full",SUMIFS($C$3:$C169,$D$3:$D169,P$2)))</f>
        <v>-</v>
      </c>
      <c r="Q169" s="2" t="str">
        <f>IF(Q$1&gt;$Z$4,"-",IF(COUNTIF($D$3:$D169,Q$2)=$Z$3,"Full",SUMIFS($C$3:$C169,$D$3:$D169,Q$2)))</f>
        <v>-</v>
      </c>
      <c r="R169" s="2" t="str">
        <f>IF(R$1&gt;$Z$4,"-",IF(COUNTIF($D$3:$D169,R$2)=$Z$3,"Full",SUMIFS($C$3:$C169,$D$3:$D169,R$2)))</f>
        <v>-</v>
      </c>
      <c r="S169" s="2" t="str">
        <f>IF(S$1&gt;$Z$4,"-",IF(COUNTIF($D$3:$D169,S$2)=$Z$3,"Full",SUMIFS($C$3:$C169,$D$3:$D169,S$2)))</f>
        <v>-</v>
      </c>
      <c r="T169" s="11" t="str">
        <f>IF(T$1&gt;$Z$4,"-",IF(COUNTIF($D$3:$D169,T$2)=$Z$3,"Full",SUMIFS($C$3:$C169,$D$3:$D169,T$2)))</f>
        <v>-</v>
      </c>
    </row>
    <row r="170" spans="1:20" x14ac:dyDescent="0.25">
      <c r="A170" s="10" t="str">
        <f t="shared" si="155"/>
        <v/>
      </c>
      <c r="D170" s="2" t="str" cm="1">
        <f t="array" aca="1" ref="D170" ca="1">IFERROR(_xlfn.XLOOKUP(MIN(E169:INDIRECT($AA$4&amp;A170+1)),E169:INDIRECT($AA$4&amp;A170+1),$E$2:INDIRECT($AA$4&amp;"$2")),"-")</f>
        <v>-</v>
      </c>
      <c r="E170" s="2" t="str">
        <f ca="1">IF(E$1&gt;$Z$4,"-",IF(COUNTIF($D$3:$D170,E$2)=$Z$3,"Full",SUMIFS($C$3:$C170,$D$3:$D170,E$2)))</f>
        <v>Full</v>
      </c>
      <c r="F170" s="2" t="str">
        <f>IF(F$1&gt;$Z$4,"-",IF(COUNTIF($D$3:$D170,F$2)=$Z$3,"Full",SUMIFS($C$3:$C170,$D$3:$D170,F$2)))</f>
        <v>-</v>
      </c>
      <c r="G170" s="2" t="str">
        <f>IF(G$1&gt;$Z$4,"-",IF(COUNTIF($D$3:$D170,G$2)=$Z$3,"Full",SUMIFS($C$3:$C170,$D$3:$D170,G$2)))</f>
        <v>-</v>
      </c>
      <c r="H170" s="2" t="str">
        <f>IF(H$1&gt;$Z$4,"-",IF(COUNTIF($D$3:$D170,H$2)=$Z$3,"Full",SUMIFS($C$3:$C170,$D$3:$D170,H$2)))</f>
        <v>-</v>
      </c>
      <c r="I170" s="2" t="str">
        <f>IF(I$1&gt;$Z$4,"-",IF(COUNTIF($D$3:$D170,I$2)=$Z$3,"Full",SUMIFS($C$3:$C170,$D$3:$D170,I$2)))</f>
        <v>-</v>
      </c>
      <c r="J170" s="2" t="str">
        <f>IF(J$1&gt;$Z$4,"-",IF(COUNTIF($D$3:$D170,J$2)=$Z$3,"Full",SUMIFS($C$3:$C170,$D$3:$D170,J$2)))</f>
        <v>-</v>
      </c>
      <c r="K170" s="2" t="str">
        <f>IF(K$1&gt;$Z$4,"-",IF(COUNTIF($D$3:$D170,K$2)=$Z$3,"Full",SUMIFS($C$3:$C170,$D$3:$D170,K$2)))</f>
        <v>-</v>
      </c>
      <c r="L170" s="2" t="str">
        <f>IF(L$1&gt;$Z$4,"-",IF(COUNTIF($D$3:$D170,L$2)=$Z$3,"Full",SUMIFS($C$3:$C170,$D$3:$D170,L$2)))</f>
        <v>-</v>
      </c>
      <c r="M170" s="2" t="str">
        <f>IF(M$1&gt;$Z$4,"-",IF(COUNTIF($D$3:$D170,M$2)=$Z$3,"Full",SUMIFS($C$3:$C170,$D$3:$D170,M$2)))</f>
        <v>-</v>
      </c>
      <c r="N170" s="2" t="str">
        <f>IF(N$1&gt;$Z$4,"-",IF(COUNTIF($D$3:$D170,N$2)=$Z$3,"Full",SUMIFS($C$3:$C170,$D$3:$D170,N$2)))</f>
        <v>-</v>
      </c>
      <c r="O170" s="2" t="str">
        <f>IF(O$1&gt;$Z$4,"-",IF(COUNTIF($D$3:$D170,O$2)=$Z$3,"Full",SUMIFS($C$3:$C170,$D$3:$D170,O$2)))</f>
        <v>-</v>
      </c>
      <c r="P170" s="2" t="str">
        <f>IF(P$1&gt;$Z$4,"-",IF(COUNTIF($D$3:$D170,P$2)=$Z$3,"Full",SUMIFS($C$3:$C170,$D$3:$D170,P$2)))</f>
        <v>-</v>
      </c>
      <c r="Q170" s="2" t="str">
        <f>IF(Q$1&gt;$Z$4,"-",IF(COUNTIF($D$3:$D170,Q$2)=$Z$3,"Full",SUMIFS($C$3:$C170,$D$3:$D170,Q$2)))</f>
        <v>-</v>
      </c>
      <c r="R170" s="2" t="str">
        <f>IF(R$1&gt;$Z$4,"-",IF(COUNTIF($D$3:$D170,R$2)=$Z$3,"Full",SUMIFS($C$3:$C170,$D$3:$D170,R$2)))</f>
        <v>-</v>
      </c>
      <c r="S170" s="2" t="str">
        <f>IF(S$1&gt;$Z$4,"-",IF(COUNTIF($D$3:$D170,S$2)=$Z$3,"Full",SUMIFS($C$3:$C170,$D$3:$D170,S$2)))</f>
        <v>-</v>
      </c>
      <c r="T170" s="11" t="str">
        <f>IF(T$1&gt;$Z$4,"-",IF(COUNTIF($D$3:$D170,T$2)=$Z$3,"Full",SUMIFS($C$3:$C170,$D$3:$D170,T$2)))</f>
        <v>-</v>
      </c>
    </row>
    <row r="171" spans="1:20" x14ac:dyDescent="0.25">
      <c r="A171" s="10" t="str">
        <f t="shared" si="155"/>
        <v/>
      </c>
      <c r="D171" s="2" t="str" cm="1">
        <f t="array" aca="1" ref="D171" ca="1">IFERROR(_xlfn.XLOOKUP(MIN(E170:INDIRECT($AA$4&amp;A171+1)),E170:INDIRECT($AA$4&amp;A171+1),$E$2:INDIRECT($AA$4&amp;"$2")),"-")</f>
        <v>-</v>
      </c>
      <c r="E171" s="2" t="str">
        <f ca="1">IF(E$1&gt;$Z$4,"-",IF(COUNTIF($D$3:$D171,E$2)=$Z$3,"Full",SUMIFS($C$3:$C171,$D$3:$D171,E$2)))</f>
        <v>Full</v>
      </c>
      <c r="F171" s="2" t="str">
        <f>IF(F$1&gt;$Z$4,"-",IF(COUNTIF($D$3:$D171,F$2)=$Z$3,"Full",SUMIFS($C$3:$C171,$D$3:$D171,F$2)))</f>
        <v>-</v>
      </c>
      <c r="G171" s="2" t="str">
        <f>IF(G$1&gt;$Z$4,"-",IF(COUNTIF($D$3:$D171,G$2)=$Z$3,"Full",SUMIFS($C$3:$C171,$D$3:$D171,G$2)))</f>
        <v>-</v>
      </c>
      <c r="H171" s="2" t="str">
        <f>IF(H$1&gt;$Z$4,"-",IF(COUNTIF($D$3:$D171,H$2)=$Z$3,"Full",SUMIFS($C$3:$C171,$D$3:$D171,H$2)))</f>
        <v>-</v>
      </c>
      <c r="I171" s="2" t="str">
        <f>IF(I$1&gt;$Z$4,"-",IF(COUNTIF($D$3:$D171,I$2)=$Z$3,"Full",SUMIFS($C$3:$C171,$D$3:$D171,I$2)))</f>
        <v>-</v>
      </c>
      <c r="J171" s="2" t="str">
        <f>IF(J$1&gt;$Z$4,"-",IF(COUNTIF($D$3:$D171,J$2)=$Z$3,"Full",SUMIFS($C$3:$C171,$D$3:$D171,J$2)))</f>
        <v>-</v>
      </c>
      <c r="K171" s="2" t="str">
        <f>IF(K$1&gt;$Z$4,"-",IF(COUNTIF($D$3:$D171,K$2)=$Z$3,"Full",SUMIFS($C$3:$C171,$D$3:$D171,K$2)))</f>
        <v>-</v>
      </c>
      <c r="L171" s="2" t="str">
        <f>IF(L$1&gt;$Z$4,"-",IF(COUNTIF($D$3:$D171,L$2)=$Z$3,"Full",SUMIFS($C$3:$C171,$D$3:$D171,L$2)))</f>
        <v>-</v>
      </c>
      <c r="M171" s="2" t="str">
        <f>IF(M$1&gt;$Z$4,"-",IF(COUNTIF($D$3:$D171,M$2)=$Z$3,"Full",SUMIFS($C$3:$C171,$D$3:$D171,M$2)))</f>
        <v>-</v>
      </c>
      <c r="N171" s="2" t="str">
        <f>IF(N$1&gt;$Z$4,"-",IF(COUNTIF($D$3:$D171,N$2)=$Z$3,"Full",SUMIFS($C$3:$C171,$D$3:$D171,N$2)))</f>
        <v>-</v>
      </c>
      <c r="O171" s="2" t="str">
        <f>IF(O$1&gt;$Z$4,"-",IF(COUNTIF($D$3:$D171,O$2)=$Z$3,"Full",SUMIFS($C$3:$C171,$D$3:$D171,O$2)))</f>
        <v>-</v>
      </c>
      <c r="P171" s="2" t="str">
        <f>IF(P$1&gt;$Z$4,"-",IF(COUNTIF($D$3:$D171,P$2)=$Z$3,"Full",SUMIFS($C$3:$C171,$D$3:$D171,P$2)))</f>
        <v>-</v>
      </c>
      <c r="Q171" s="2" t="str">
        <f>IF(Q$1&gt;$Z$4,"-",IF(COUNTIF($D$3:$D171,Q$2)=$Z$3,"Full",SUMIFS($C$3:$C171,$D$3:$D171,Q$2)))</f>
        <v>-</v>
      </c>
      <c r="R171" s="2" t="str">
        <f>IF(R$1&gt;$Z$4,"-",IF(COUNTIF($D$3:$D171,R$2)=$Z$3,"Full",SUMIFS($C$3:$C171,$D$3:$D171,R$2)))</f>
        <v>-</v>
      </c>
      <c r="S171" s="2" t="str">
        <f>IF(S$1&gt;$Z$4,"-",IF(COUNTIF($D$3:$D171,S$2)=$Z$3,"Full",SUMIFS($C$3:$C171,$D$3:$D171,S$2)))</f>
        <v>-</v>
      </c>
      <c r="T171" s="11" t="str">
        <f>IF(T$1&gt;$Z$4,"-",IF(COUNTIF($D$3:$D171,T$2)=$Z$3,"Full",SUMIFS($C$3:$C171,$D$3:$D171,T$2)))</f>
        <v>-</v>
      </c>
    </row>
    <row r="172" spans="1:20" x14ac:dyDescent="0.25">
      <c r="A172" s="10" t="str">
        <f t="shared" si="155"/>
        <v/>
      </c>
      <c r="D172" s="2" t="str" cm="1">
        <f t="array" aca="1" ref="D172" ca="1">IFERROR(_xlfn.XLOOKUP(MIN(E171:INDIRECT($AA$4&amp;A172+1)),E171:INDIRECT($AA$4&amp;A172+1),$E$2:INDIRECT($AA$4&amp;"$2")),"-")</f>
        <v>-</v>
      </c>
      <c r="E172" s="2" t="str">
        <f ca="1">IF(E$1&gt;$Z$4,"-",IF(COUNTIF($D$3:$D172,E$2)=$Z$3,"Full",SUMIFS($C$3:$C172,$D$3:$D172,E$2)))</f>
        <v>Full</v>
      </c>
      <c r="F172" s="2" t="str">
        <f>IF(F$1&gt;$Z$4,"-",IF(COUNTIF($D$3:$D172,F$2)=$Z$3,"Full",SUMIFS($C$3:$C172,$D$3:$D172,F$2)))</f>
        <v>-</v>
      </c>
      <c r="G172" s="2" t="str">
        <f>IF(G$1&gt;$Z$4,"-",IF(COUNTIF($D$3:$D172,G$2)=$Z$3,"Full",SUMIFS($C$3:$C172,$D$3:$D172,G$2)))</f>
        <v>-</v>
      </c>
      <c r="H172" s="2" t="str">
        <f>IF(H$1&gt;$Z$4,"-",IF(COUNTIF($D$3:$D172,H$2)=$Z$3,"Full",SUMIFS($C$3:$C172,$D$3:$D172,H$2)))</f>
        <v>-</v>
      </c>
      <c r="I172" s="2" t="str">
        <f>IF(I$1&gt;$Z$4,"-",IF(COUNTIF($D$3:$D172,I$2)=$Z$3,"Full",SUMIFS($C$3:$C172,$D$3:$D172,I$2)))</f>
        <v>-</v>
      </c>
      <c r="J172" s="2" t="str">
        <f>IF(J$1&gt;$Z$4,"-",IF(COUNTIF($D$3:$D172,J$2)=$Z$3,"Full",SUMIFS($C$3:$C172,$D$3:$D172,J$2)))</f>
        <v>-</v>
      </c>
      <c r="K172" s="2" t="str">
        <f>IF(K$1&gt;$Z$4,"-",IF(COUNTIF($D$3:$D172,K$2)=$Z$3,"Full",SUMIFS($C$3:$C172,$D$3:$D172,K$2)))</f>
        <v>-</v>
      </c>
      <c r="L172" s="2" t="str">
        <f>IF(L$1&gt;$Z$4,"-",IF(COUNTIF($D$3:$D172,L$2)=$Z$3,"Full",SUMIFS($C$3:$C172,$D$3:$D172,L$2)))</f>
        <v>-</v>
      </c>
      <c r="M172" s="2" t="str">
        <f>IF(M$1&gt;$Z$4,"-",IF(COUNTIF($D$3:$D172,M$2)=$Z$3,"Full",SUMIFS($C$3:$C172,$D$3:$D172,M$2)))</f>
        <v>-</v>
      </c>
      <c r="N172" s="2" t="str">
        <f>IF(N$1&gt;$Z$4,"-",IF(COUNTIF($D$3:$D172,N$2)=$Z$3,"Full",SUMIFS($C$3:$C172,$D$3:$D172,N$2)))</f>
        <v>-</v>
      </c>
      <c r="O172" s="2" t="str">
        <f>IF(O$1&gt;$Z$4,"-",IF(COUNTIF($D$3:$D172,O$2)=$Z$3,"Full",SUMIFS($C$3:$C172,$D$3:$D172,O$2)))</f>
        <v>-</v>
      </c>
      <c r="P172" s="2" t="str">
        <f>IF(P$1&gt;$Z$4,"-",IF(COUNTIF($D$3:$D172,P$2)=$Z$3,"Full",SUMIFS($C$3:$C172,$D$3:$D172,P$2)))</f>
        <v>-</v>
      </c>
      <c r="Q172" s="2" t="str">
        <f>IF(Q$1&gt;$Z$4,"-",IF(COUNTIF($D$3:$D172,Q$2)=$Z$3,"Full",SUMIFS($C$3:$C172,$D$3:$D172,Q$2)))</f>
        <v>-</v>
      </c>
      <c r="R172" s="2" t="str">
        <f>IF(R$1&gt;$Z$4,"-",IF(COUNTIF($D$3:$D172,R$2)=$Z$3,"Full",SUMIFS($C$3:$C172,$D$3:$D172,R$2)))</f>
        <v>-</v>
      </c>
      <c r="S172" s="2" t="str">
        <f>IF(S$1&gt;$Z$4,"-",IF(COUNTIF($D$3:$D172,S$2)=$Z$3,"Full",SUMIFS($C$3:$C172,$D$3:$D172,S$2)))</f>
        <v>-</v>
      </c>
      <c r="T172" s="11" t="str">
        <f>IF(T$1&gt;$Z$4,"-",IF(COUNTIF($D$3:$D172,T$2)=$Z$3,"Full",SUMIFS($C$3:$C172,$D$3:$D172,T$2)))</f>
        <v>-</v>
      </c>
    </row>
    <row r="173" spans="1:20" x14ac:dyDescent="0.25">
      <c r="A173" s="10" t="str">
        <f t="shared" si="155"/>
        <v/>
      </c>
      <c r="D173" s="2" t="str" cm="1">
        <f t="array" aca="1" ref="D173" ca="1">IFERROR(_xlfn.XLOOKUP(MIN(E172:INDIRECT($AA$4&amp;A173+1)),E172:INDIRECT($AA$4&amp;A173+1),$E$2:INDIRECT($AA$4&amp;"$2")),"-")</f>
        <v>-</v>
      </c>
      <c r="E173" s="2" t="str">
        <f ca="1">IF(E$1&gt;$Z$4,"-",IF(COUNTIF($D$3:$D173,E$2)=$Z$3,"Full",SUMIFS($C$3:$C173,$D$3:$D173,E$2)))</f>
        <v>Full</v>
      </c>
      <c r="F173" s="2" t="str">
        <f>IF(F$1&gt;$Z$4,"-",IF(COUNTIF($D$3:$D173,F$2)=$Z$3,"Full",SUMIFS($C$3:$C173,$D$3:$D173,F$2)))</f>
        <v>-</v>
      </c>
      <c r="G173" s="2" t="str">
        <f>IF(G$1&gt;$Z$4,"-",IF(COUNTIF($D$3:$D173,G$2)=$Z$3,"Full",SUMIFS($C$3:$C173,$D$3:$D173,G$2)))</f>
        <v>-</v>
      </c>
      <c r="H173" s="2" t="str">
        <f>IF(H$1&gt;$Z$4,"-",IF(COUNTIF($D$3:$D173,H$2)=$Z$3,"Full",SUMIFS($C$3:$C173,$D$3:$D173,H$2)))</f>
        <v>-</v>
      </c>
      <c r="I173" s="2" t="str">
        <f>IF(I$1&gt;$Z$4,"-",IF(COUNTIF($D$3:$D173,I$2)=$Z$3,"Full",SUMIFS($C$3:$C173,$D$3:$D173,I$2)))</f>
        <v>-</v>
      </c>
      <c r="J173" s="2" t="str">
        <f>IF(J$1&gt;$Z$4,"-",IF(COUNTIF($D$3:$D173,J$2)=$Z$3,"Full",SUMIFS($C$3:$C173,$D$3:$D173,J$2)))</f>
        <v>-</v>
      </c>
      <c r="K173" s="2" t="str">
        <f>IF(K$1&gt;$Z$4,"-",IF(COUNTIF($D$3:$D173,K$2)=$Z$3,"Full",SUMIFS($C$3:$C173,$D$3:$D173,K$2)))</f>
        <v>-</v>
      </c>
      <c r="L173" s="2" t="str">
        <f>IF(L$1&gt;$Z$4,"-",IF(COUNTIF($D$3:$D173,L$2)=$Z$3,"Full",SUMIFS($C$3:$C173,$D$3:$D173,L$2)))</f>
        <v>-</v>
      </c>
      <c r="M173" s="2" t="str">
        <f>IF(M$1&gt;$Z$4,"-",IF(COUNTIF($D$3:$D173,M$2)=$Z$3,"Full",SUMIFS($C$3:$C173,$D$3:$D173,M$2)))</f>
        <v>-</v>
      </c>
      <c r="N173" s="2" t="str">
        <f>IF(N$1&gt;$Z$4,"-",IF(COUNTIF($D$3:$D173,N$2)=$Z$3,"Full",SUMIFS($C$3:$C173,$D$3:$D173,N$2)))</f>
        <v>-</v>
      </c>
      <c r="O173" s="2" t="str">
        <f>IF(O$1&gt;$Z$4,"-",IF(COUNTIF($D$3:$D173,O$2)=$Z$3,"Full",SUMIFS($C$3:$C173,$D$3:$D173,O$2)))</f>
        <v>-</v>
      </c>
      <c r="P173" s="2" t="str">
        <f>IF(P$1&gt;$Z$4,"-",IF(COUNTIF($D$3:$D173,P$2)=$Z$3,"Full",SUMIFS($C$3:$C173,$D$3:$D173,P$2)))</f>
        <v>-</v>
      </c>
      <c r="Q173" s="2" t="str">
        <f>IF(Q$1&gt;$Z$4,"-",IF(COUNTIF($D$3:$D173,Q$2)=$Z$3,"Full",SUMIFS($C$3:$C173,$D$3:$D173,Q$2)))</f>
        <v>-</v>
      </c>
      <c r="R173" s="2" t="str">
        <f>IF(R$1&gt;$Z$4,"-",IF(COUNTIF($D$3:$D173,R$2)=$Z$3,"Full",SUMIFS($C$3:$C173,$D$3:$D173,R$2)))</f>
        <v>-</v>
      </c>
      <c r="S173" s="2" t="str">
        <f>IF(S$1&gt;$Z$4,"-",IF(COUNTIF($D$3:$D173,S$2)=$Z$3,"Full",SUMIFS($C$3:$C173,$D$3:$D173,S$2)))</f>
        <v>-</v>
      </c>
      <c r="T173" s="11" t="str">
        <f>IF(T$1&gt;$Z$4,"-",IF(COUNTIF($D$3:$D173,T$2)=$Z$3,"Full",SUMIFS($C$3:$C173,$D$3:$D173,T$2)))</f>
        <v>-</v>
      </c>
    </row>
    <row r="174" spans="1:20" x14ac:dyDescent="0.25">
      <c r="A174" s="10" t="str">
        <f t="shared" si="155"/>
        <v/>
      </c>
      <c r="D174" s="2" t="str" cm="1">
        <f t="array" aca="1" ref="D174" ca="1">IFERROR(_xlfn.XLOOKUP(MIN(E173:INDIRECT($AA$4&amp;A174+1)),E173:INDIRECT($AA$4&amp;A174+1),$E$2:INDIRECT($AA$4&amp;"$2")),"-")</f>
        <v>-</v>
      </c>
      <c r="E174" s="2" t="str">
        <f ca="1">IF(E$1&gt;$Z$4,"-",IF(COUNTIF($D$3:$D174,E$2)=$Z$3,"Full",SUMIFS($C$3:$C174,$D$3:$D174,E$2)))</f>
        <v>Full</v>
      </c>
      <c r="F174" s="2" t="str">
        <f>IF(F$1&gt;$Z$4,"-",IF(COUNTIF($D$3:$D174,F$2)=$Z$3,"Full",SUMIFS($C$3:$C174,$D$3:$D174,F$2)))</f>
        <v>-</v>
      </c>
      <c r="G174" s="2" t="str">
        <f>IF(G$1&gt;$Z$4,"-",IF(COUNTIF($D$3:$D174,G$2)=$Z$3,"Full",SUMIFS($C$3:$C174,$D$3:$D174,G$2)))</f>
        <v>-</v>
      </c>
      <c r="H174" s="2" t="str">
        <f>IF(H$1&gt;$Z$4,"-",IF(COUNTIF($D$3:$D174,H$2)=$Z$3,"Full",SUMIFS($C$3:$C174,$D$3:$D174,H$2)))</f>
        <v>-</v>
      </c>
      <c r="I174" s="2" t="str">
        <f>IF(I$1&gt;$Z$4,"-",IF(COUNTIF($D$3:$D174,I$2)=$Z$3,"Full",SUMIFS($C$3:$C174,$D$3:$D174,I$2)))</f>
        <v>-</v>
      </c>
      <c r="J174" s="2" t="str">
        <f>IF(J$1&gt;$Z$4,"-",IF(COUNTIF($D$3:$D174,J$2)=$Z$3,"Full",SUMIFS($C$3:$C174,$D$3:$D174,J$2)))</f>
        <v>-</v>
      </c>
      <c r="K174" s="2" t="str">
        <f>IF(K$1&gt;$Z$4,"-",IF(COUNTIF($D$3:$D174,K$2)=$Z$3,"Full",SUMIFS($C$3:$C174,$D$3:$D174,K$2)))</f>
        <v>-</v>
      </c>
      <c r="L174" s="2" t="str">
        <f>IF(L$1&gt;$Z$4,"-",IF(COUNTIF($D$3:$D174,L$2)=$Z$3,"Full",SUMIFS($C$3:$C174,$D$3:$D174,L$2)))</f>
        <v>-</v>
      </c>
      <c r="M174" s="2" t="str">
        <f>IF(M$1&gt;$Z$4,"-",IF(COUNTIF($D$3:$D174,M$2)=$Z$3,"Full",SUMIFS($C$3:$C174,$D$3:$D174,M$2)))</f>
        <v>-</v>
      </c>
      <c r="N174" s="2" t="str">
        <f>IF(N$1&gt;$Z$4,"-",IF(COUNTIF($D$3:$D174,N$2)=$Z$3,"Full",SUMIFS($C$3:$C174,$D$3:$D174,N$2)))</f>
        <v>-</v>
      </c>
      <c r="O174" s="2" t="str">
        <f>IF(O$1&gt;$Z$4,"-",IF(COUNTIF($D$3:$D174,O$2)=$Z$3,"Full",SUMIFS($C$3:$C174,$D$3:$D174,O$2)))</f>
        <v>-</v>
      </c>
      <c r="P174" s="2" t="str">
        <f>IF(P$1&gt;$Z$4,"-",IF(COUNTIF($D$3:$D174,P$2)=$Z$3,"Full",SUMIFS($C$3:$C174,$D$3:$D174,P$2)))</f>
        <v>-</v>
      </c>
      <c r="Q174" s="2" t="str">
        <f>IF(Q$1&gt;$Z$4,"-",IF(COUNTIF($D$3:$D174,Q$2)=$Z$3,"Full",SUMIFS($C$3:$C174,$D$3:$D174,Q$2)))</f>
        <v>-</v>
      </c>
      <c r="R174" s="2" t="str">
        <f>IF(R$1&gt;$Z$4,"-",IF(COUNTIF($D$3:$D174,R$2)=$Z$3,"Full",SUMIFS($C$3:$C174,$D$3:$D174,R$2)))</f>
        <v>-</v>
      </c>
      <c r="S174" s="2" t="str">
        <f>IF(S$1&gt;$Z$4,"-",IF(COUNTIF($D$3:$D174,S$2)=$Z$3,"Full",SUMIFS($C$3:$C174,$D$3:$D174,S$2)))</f>
        <v>-</v>
      </c>
      <c r="T174" s="11" t="str">
        <f>IF(T$1&gt;$Z$4,"-",IF(COUNTIF($D$3:$D174,T$2)=$Z$3,"Full",SUMIFS($C$3:$C174,$D$3:$D174,T$2)))</f>
        <v>-</v>
      </c>
    </row>
    <row r="175" spans="1:20" x14ac:dyDescent="0.25">
      <c r="A175" s="10" t="str">
        <f t="shared" si="155"/>
        <v/>
      </c>
      <c r="D175" s="2" t="str" cm="1">
        <f t="array" aca="1" ref="D175" ca="1">IFERROR(_xlfn.XLOOKUP(MIN(E174:INDIRECT($AA$4&amp;A175+1)),E174:INDIRECT($AA$4&amp;A175+1),$E$2:INDIRECT($AA$4&amp;"$2")),"-")</f>
        <v>-</v>
      </c>
      <c r="E175" s="2" t="str">
        <f ca="1">IF(E$1&gt;$Z$4,"-",IF(COUNTIF($D$3:$D175,E$2)=$Z$3,"Full",SUMIFS($C$3:$C175,$D$3:$D175,E$2)))</f>
        <v>Full</v>
      </c>
      <c r="F175" s="2" t="str">
        <f>IF(F$1&gt;$Z$4,"-",IF(COUNTIF($D$3:$D175,F$2)=$Z$3,"Full",SUMIFS($C$3:$C175,$D$3:$D175,F$2)))</f>
        <v>-</v>
      </c>
      <c r="G175" s="2" t="str">
        <f>IF(G$1&gt;$Z$4,"-",IF(COUNTIF($D$3:$D175,G$2)=$Z$3,"Full",SUMIFS($C$3:$C175,$D$3:$D175,G$2)))</f>
        <v>-</v>
      </c>
      <c r="H175" s="2" t="str">
        <f>IF(H$1&gt;$Z$4,"-",IF(COUNTIF($D$3:$D175,H$2)=$Z$3,"Full",SUMIFS($C$3:$C175,$D$3:$D175,H$2)))</f>
        <v>-</v>
      </c>
      <c r="I175" s="2" t="str">
        <f>IF(I$1&gt;$Z$4,"-",IF(COUNTIF($D$3:$D175,I$2)=$Z$3,"Full",SUMIFS($C$3:$C175,$D$3:$D175,I$2)))</f>
        <v>-</v>
      </c>
      <c r="J175" s="2" t="str">
        <f>IF(J$1&gt;$Z$4,"-",IF(COUNTIF($D$3:$D175,J$2)=$Z$3,"Full",SUMIFS($C$3:$C175,$D$3:$D175,J$2)))</f>
        <v>-</v>
      </c>
      <c r="K175" s="2" t="str">
        <f>IF(K$1&gt;$Z$4,"-",IF(COUNTIF($D$3:$D175,K$2)=$Z$3,"Full",SUMIFS($C$3:$C175,$D$3:$D175,K$2)))</f>
        <v>-</v>
      </c>
      <c r="L175" s="2" t="str">
        <f>IF(L$1&gt;$Z$4,"-",IF(COUNTIF($D$3:$D175,L$2)=$Z$3,"Full",SUMIFS($C$3:$C175,$D$3:$D175,L$2)))</f>
        <v>-</v>
      </c>
      <c r="M175" s="2" t="str">
        <f>IF(M$1&gt;$Z$4,"-",IF(COUNTIF($D$3:$D175,M$2)=$Z$3,"Full",SUMIFS($C$3:$C175,$D$3:$D175,M$2)))</f>
        <v>-</v>
      </c>
      <c r="N175" s="2" t="str">
        <f>IF(N$1&gt;$Z$4,"-",IF(COUNTIF($D$3:$D175,N$2)=$Z$3,"Full",SUMIFS($C$3:$C175,$D$3:$D175,N$2)))</f>
        <v>-</v>
      </c>
      <c r="O175" s="2" t="str">
        <f>IF(O$1&gt;$Z$4,"-",IF(COUNTIF($D$3:$D175,O$2)=$Z$3,"Full",SUMIFS($C$3:$C175,$D$3:$D175,O$2)))</f>
        <v>-</v>
      </c>
      <c r="P175" s="2" t="str">
        <f>IF(P$1&gt;$Z$4,"-",IF(COUNTIF($D$3:$D175,P$2)=$Z$3,"Full",SUMIFS($C$3:$C175,$D$3:$D175,P$2)))</f>
        <v>-</v>
      </c>
      <c r="Q175" s="2" t="str">
        <f>IF(Q$1&gt;$Z$4,"-",IF(COUNTIF($D$3:$D175,Q$2)=$Z$3,"Full",SUMIFS($C$3:$C175,$D$3:$D175,Q$2)))</f>
        <v>-</v>
      </c>
      <c r="R175" s="2" t="str">
        <f>IF(R$1&gt;$Z$4,"-",IF(COUNTIF($D$3:$D175,R$2)=$Z$3,"Full",SUMIFS($C$3:$C175,$D$3:$D175,R$2)))</f>
        <v>-</v>
      </c>
      <c r="S175" s="2" t="str">
        <f>IF(S$1&gt;$Z$4,"-",IF(COUNTIF($D$3:$D175,S$2)=$Z$3,"Full",SUMIFS($C$3:$C175,$D$3:$D175,S$2)))</f>
        <v>-</v>
      </c>
      <c r="T175" s="11" t="str">
        <f>IF(T$1&gt;$Z$4,"-",IF(COUNTIF($D$3:$D175,T$2)=$Z$3,"Full",SUMIFS($C$3:$C175,$D$3:$D175,T$2)))</f>
        <v>-</v>
      </c>
    </row>
    <row r="176" spans="1:20" x14ac:dyDescent="0.25">
      <c r="A176" s="10" t="str">
        <f t="shared" si="155"/>
        <v/>
      </c>
      <c r="D176" s="2" t="str" cm="1">
        <f t="array" aca="1" ref="D176" ca="1">IFERROR(_xlfn.XLOOKUP(MIN(E175:INDIRECT($AA$4&amp;A176+1)),E175:INDIRECT($AA$4&amp;A176+1),$E$2:INDIRECT($AA$4&amp;"$2")),"-")</f>
        <v>-</v>
      </c>
      <c r="E176" s="2" t="str">
        <f ca="1">IF(E$1&gt;$Z$4,"-",IF(COUNTIF($D$3:$D176,E$2)=$Z$3,"Full",SUMIFS($C$3:$C176,$D$3:$D176,E$2)))</f>
        <v>Full</v>
      </c>
      <c r="F176" s="2" t="str">
        <f>IF(F$1&gt;$Z$4,"-",IF(COUNTIF($D$3:$D176,F$2)=$Z$3,"Full",SUMIFS($C$3:$C176,$D$3:$D176,F$2)))</f>
        <v>-</v>
      </c>
      <c r="G176" s="2" t="str">
        <f>IF(G$1&gt;$Z$4,"-",IF(COUNTIF($D$3:$D176,G$2)=$Z$3,"Full",SUMIFS($C$3:$C176,$D$3:$D176,G$2)))</f>
        <v>-</v>
      </c>
      <c r="H176" s="2" t="str">
        <f>IF(H$1&gt;$Z$4,"-",IF(COUNTIF($D$3:$D176,H$2)=$Z$3,"Full",SUMIFS($C$3:$C176,$D$3:$D176,H$2)))</f>
        <v>-</v>
      </c>
      <c r="I176" s="2" t="str">
        <f>IF(I$1&gt;$Z$4,"-",IF(COUNTIF($D$3:$D176,I$2)=$Z$3,"Full",SUMIFS($C$3:$C176,$D$3:$D176,I$2)))</f>
        <v>-</v>
      </c>
      <c r="J176" s="2" t="str">
        <f>IF(J$1&gt;$Z$4,"-",IF(COUNTIF($D$3:$D176,J$2)=$Z$3,"Full",SUMIFS($C$3:$C176,$D$3:$D176,J$2)))</f>
        <v>-</v>
      </c>
      <c r="K176" s="2" t="str">
        <f>IF(K$1&gt;$Z$4,"-",IF(COUNTIF($D$3:$D176,K$2)=$Z$3,"Full",SUMIFS($C$3:$C176,$D$3:$D176,K$2)))</f>
        <v>-</v>
      </c>
      <c r="L176" s="2" t="str">
        <f>IF(L$1&gt;$Z$4,"-",IF(COUNTIF($D$3:$D176,L$2)=$Z$3,"Full",SUMIFS($C$3:$C176,$D$3:$D176,L$2)))</f>
        <v>-</v>
      </c>
      <c r="M176" s="2" t="str">
        <f>IF(M$1&gt;$Z$4,"-",IF(COUNTIF($D$3:$D176,M$2)=$Z$3,"Full",SUMIFS($C$3:$C176,$D$3:$D176,M$2)))</f>
        <v>-</v>
      </c>
      <c r="N176" s="2" t="str">
        <f>IF(N$1&gt;$Z$4,"-",IF(COUNTIF($D$3:$D176,N$2)=$Z$3,"Full",SUMIFS($C$3:$C176,$D$3:$D176,N$2)))</f>
        <v>-</v>
      </c>
      <c r="O176" s="2" t="str">
        <f>IF(O$1&gt;$Z$4,"-",IF(COUNTIF($D$3:$D176,O$2)=$Z$3,"Full",SUMIFS($C$3:$C176,$D$3:$D176,O$2)))</f>
        <v>-</v>
      </c>
      <c r="P176" s="2" t="str">
        <f>IF(P$1&gt;$Z$4,"-",IF(COUNTIF($D$3:$D176,P$2)=$Z$3,"Full",SUMIFS($C$3:$C176,$D$3:$D176,P$2)))</f>
        <v>-</v>
      </c>
      <c r="Q176" s="2" t="str">
        <f>IF(Q$1&gt;$Z$4,"-",IF(COUNTIF($D$3:$D176,Q$2)=$Z$3,"Full",SUMIFS($C$3:$C176,$D$3:$D176,Q$2)))</f>
        <v>-</v>
      </c>
      <c r="R176" s="2" t="str">
        <f>IF(R$1&gt;$Z$4,"-",IF(COUNTIF($D$3:$D176,R$2)=$Z$3,"Full",SUMIFS($C$3:$C176,$D$3:$D176,R$2)))</f>
        <v>-</v>
      </c>
      <c r="S176" s="2" t="str">
        <f>IF(S$1&gt;$Z$4,"-",IF(COUNTIF($D$3:$D176,S$2)=$Z$3,"Full",SUMIFS($C$3:$C176,$D$3:$D176,S$2)))</f>
        <v>-</v>
      </c>
      <c r="T176" s="11" t="str">
        <f>IF(T$1&gt;$Z$4,"-",IF(COUNTIF($D$3:$D176,T$2)=$Z$3,"Full",SUMIFS($C$3:$C176,$D$3:$D176,T$2)))</f>
        <v>-</v>
      </c>
    </row>
    <row r="177" spans="1:20" x14ac:dyDescent="0.25">
      <c r="A177" s="10" t="str">
        <f t="shared" si="155"/>
        <v/>
      </c>
      <c r="D177" s="2" t="str" cm="1">
        <f t="array" aca="1" ref="D177" ca="1">IFERROR(_xlfn.XLOOKUP(MIN(E176:INDIRECT($AA$4&amp;A177+1)),E176:INDIRECT($AA$4&amp;A177+1),$E$2:INDIRECT($AA$4&amp;"$2")),"-")</f>
        <v>-</v>
      </c>
      <c r="E177" s="2" t="str">
        <f ca="1">IF(E$1&gt;$Z$4,"-",IF(COUNTIF($D$3:$D177,E$2)=$Z$3,"Full",SUMIFS($C$3:$C177,$D$3:$D177,E$2)))</f>
        <v>Full</v>
      </c>
      <c r="F177" s="2" t="str">
        <f>IF(F$1&gt;$Z$4,"-",IF(COUNTIF($D$3:$D177,F$2)=$Z$3,"Full",SUMIFS($C$3:$C177,$D$3:$D177,F$2)))</f>
        <v>-</v>
      </c>
      <c r="G177" s="2" t="str">
        <f>IF(G$1&gt;$Z$4,"-",IF(COUNTIF($D$3:$D177,G$2)=$Z$3,"Full",SUMIFS($C$3:$C177,$D$3:$D177,G$2)))</f>
        <v>-</v>
      </c>
      <c r="H177" s="2" t="str">
        <f>IF(H$1&gt;$Z$4,"-",IF(COUNTIF($D$3:$D177,H$2)=$Z$3,"Full",SUMIFS($C$3:$C177,$D$3:$D177,H$2)))</f>
        <v>-</v>
      </c>
      <c r="I177" s="2" t="str">
        <f>IF(I$1&gt;$Z$4,"-",IF(COUNTIF($D$3:$D177,I$2)=$Z$3,"Full",SUMIFS($C$3:$C177,$D$3:$D177,I$2)))</f>
        <v>-</v>
      </c>
      <c r="J177" s="2" t="str">
        <f>IF(J$1&gt;$Z$4,"-",IF(COUNTIF($D$3:$D177,J$2)=$Z$3,"Full",SUMIFS($C$3:$C177,$D$3:$D177,J$2)))</f>
        <v>-</v>
      </c>
      <c r="K177" s="2" t="str">
        <f>IF(K$1&gt;$Z$4,"-",IF(COUNTIF($D$3:$D177,K$2)=$Z$3,"Full",SUMIFS($C$3:$C177,$D$3:$D177,K$2)))</f>
        <v>-</v>
      </c>
      <c r="L177" s="2" t="str">
        <f>IF(L$1&gt;$Z$4,"-",IF(COUNTIF($D$3:$D177,L$2)=$Z$3,"Full",SUMIFS($C$3:$C177,$D$3:$D177,L$2)))</f>
        <v>-</v>
      </c>
      <c r="M177" s="2" t="str">
        <f>IF(M$1&gt;$Z$4,"-",IF(COUNTIF($D$3:$D177,M$2)=$Z$3,"Full",SUMIFS($C$3:$C177,$D$3:$D177,M$2)))</f>
        <v>-</v>
      </c>
      <c r="N177" s="2" t="str">
        <f>IF(N$1&gt;$Z$4,"-",IF(COUNTIF($D$3:$D177,N$2)=$Z$3,"Full",SUMIFS($C$3:$C177,$D$3:$D177,N$2)))</f>
        <v>-</v>
      </c>
      <c r="O177" s="2" t="str">
        <f>IF(O$1&gt;$Z$4,"-",IF(COUNTIF($D$3:$D177,O$2)=$Z$3,"Full",SUMIFS($C$3:$C177,$D$3:$D177,O$2)))</f>
        <v>-</v>
      </c>
      <c r="P177" s="2" t="str">
        <f>IF(P$1&gt;$Z$4,"-",IF(COUNTIF($D$3:$D177,P$2)=$Z$3,"Full",SUMIFS($C$3:$C177,$D$3:$D177,P$2)))</f>
        <v>-</v>
      </c>
      <c r="Q177" s="2" t="str">
        <f>IF(Q$1&gt;$Z$4,"-",IF(COUNTIF($D$3:$D177,Q$2)=$Z$3,"Full",SUMIFS($C$3:$C177,$D$3:$D177,Q$2)))</f>
        <v>-</v>
      </c>
      <c r="R177" s="2" t="str">
        <f>IF(R$1&gt;$Z$4,"-",IF(COUNTIF($D$3:$D177,R$2)=$Z$3,"Full",SUMIFS($C$3:$C177,$D$3:$D177,R$2)))</f>
        <v>-</v>
      </c>
      <c r="S177" s="2" t="str">
        <f>IF(S$1&gt;$Z$4,"-",IF(COUNTIF($D$3:$D177,S$2)=$Z$3,"Full",SUMIFS($C$3:$C177,$D$3:$D177,S$2)))</f>
        <v>-</v>
      </c>
      <c r="T177" s="11" t="str">
        <f>IF(T$1&gt;$Z$4,"-",IF(COUNTIF($D$3:$D177,T$2)=$Z$3,"Full",SUMIFS($C$3:$C177,$D$3:$D177,T$2)))</f>
        <v>-</v>
      </c>
    </row>
    <row r="178" spans="1:20" x14ac:dyDescent="0.25">
      <c r="A178" s="10" t="str">
        <f t="shared" si="155"/>
        <v/>
      </c>
      <c r="D178" s="2" t="str" cm="1">
        <f t="array" aca="1" ref="D178" ca="1">IFERROR(_xlfn.XLOOKUP(MIN(E177:INDIRECT($AA$4&amp;A178+1)),E177:INDIRECT($AA$4&amp;A178+1),$E$2:INDIRECT($AA$4&amp;"$2")),"-")</f>
        <v>-</v>
      </c>
      <c r="E178" s="2" t="str">
        <f ca="1">IF(E$1&gt;$Z$4,"-",IF(COUNTIF($D$3:$D178,E$2)=$Z$3,"Full",SUMIFS($C$3:$C178,$D$3:$D178,E$2)))</f>
        <v>Full</v>
      </c>
      <c r="F178" s="2" t="str">
        <f>IF(F$1&gt;$Z$4,"-",IF(COUNTIF($D$3:$D178,F$2)=$Z$3,"Full",SUMIFS($C$3:$C178,$D$3:$D178,F$2)))</f>
        <v>-</v>
      </c>
      <c r="G178" s="2" t="str">
        <f>IF(G$1&gt;$Z$4,"-",IF(COUNTIF($D$3:$D178,G$2)=$Z$3,"Full",SUMIFS($C$3:$C178,$D$3:$D178,G$2)))</f>
        <v>-</v>
      </c>
      <c r="H178" s="2" t="str">
        <f>IF(H$1&gt;$Z$4,"-",IF(COUNTIF($D$3:$D178,H$2)=$Z$3,"Full",SUMIFS($C$3:$C178,$D$3:$D178,H$2)))</f>
        <v>-</v>
      </c>
      <c r="I178" s="2" t="str">
        <f>IF(I$1&gt;$Z$4,"-",IF(COUNTIF($D$3:$D178,I$2)=$Z$3,"Full",SUMIFS($C$3:$C178,$D$3:$D178,I$2)))</f>
        <v>-</v>
      </c>
      <c r="J178" s="2" t="str">
        <f>IF(J$1&gt;$Z$4,"-",IF(COUNTIF($D$3:$D178,J$2)=$Z$3,"Full",SUMIFS($C$3:$C178,$D$3:$D178,J$2)))</f>
        <v>-</v>
      </c>
      <c r="K178" s="2" t="str">
        <f>IF(K$1&gt;$Z$4,"-",IF(COUNTIF($D$3:$D178,K$2)=$Z$3,"Full",SUMIFS($C$3:$C178,$D$3:$D178,K$2)))</f>
        <v>-</v>
      </c>
      <c r="L178" s="2" t="str">
        <f>IF(L$1&gt;$Z$4,"-",IF(COUNTIF($D$3:$D178,L$2)=$Z$3,"Full",SUMIFS($C$3:$C178,$D$3:$D178,L$2)))</f>
        <v>-</v>
      </c>
      <c r="M178" s="2" t="str">
        <f>IF(M$1&gt;$Z$4,"-",IF(COUNTIF($D$3:$D178,M$2)=$Z$3,"Full",SUMIFS($C$3:$C178,$D$3:$D178,M$2)))</f>
        <v>-</v>
      </c>
      <c r="N178" s="2" t="str">
        <f>IF(N$1&gt;$Z$4,"-",IF(COUNTIF($D$3:$D178,N$2)=$Z$3,"Full",SUMIFS($C$3:$C178,$D$3:$D178,N$2)))</f>
        <v>-</v>
      </c>
      <c r="O178" s="2" t="str">
        <f>IF(O$1&gt;$Z$4,"-",IF(COUNTIF($D$3:$D178,O$2)=$Z$3,"Full",SUMIFS($C$3:$C178,$D$3:$D178,O$2)))</f>
        <v>-</v>
      </c>
      <c r="P178" s="2" t="str">
        <f>IF(P$1&gt;$Z$4,"-",IF(COUNTIF($D$3:$D178,P$2)=$Z$3,"Full",SUMIFS($C$3:$C178,$D$3:$D178,P$2)))</f>
        <v>-</v>
      </c>
      <c r="Q178" s="2" t="str">
        <f>IF(Q$1&gt;$Z$4,"-",IF(COUNTIF($D$3:$D178,Q$2)=$Z$3,"Full",SUMIFS($C$3:$C178,$D$3:$D178,Q$2)))</f>
        <v>-</v>
      </c>
      <c r="R178" s="2" t="str">
        <f>IF(R$1&gt;$Z$4,"-",IF(COUNTIF($D$3:$D178,R$2)=$Z$3,"Full",SUMIFS($C$3:$C178,$D$3:$D178,R$2)))</f>
        <v>-</v>
      </c>
      <c r="S178" s="2" t="str">
        <f>IF(S$1&gt;$Z$4,"-",IF(COUNTIF($D$3:$D178,S$2)=$Z$3,"Full",SUMIFS($C$3:$C178,$D$3:$D178,S$2)))</f>
        <v>-</v>
      </c>
      <c r="T178" s="11" t="str">
        <f>IF(T$1&gt;$Z$4,"-",IF(COUNTIF($D$3:$D178,T$2)=$Z$3,"Full",SUMIFS($C$3:$C178,$D$3:$D178,T$2)))</f>
        <v>-</v>
      </c>
    </row>
    <row r="179" spans="1:20" x14ac:dyDescent="0.25">
      <c r="A179" s="10" t="str">
        <f t="shared" si="155"/>
        <v/>
      </c>
      <c r="D179" s="2" t="str" cm="1">
        <f t="array" aca="1" ref="D179" ca="1">IFERROR(_xlfn.XLOOKUP(MIN(E178:INDIRECT($AA$4&amp;A179+1)),E178:INDIRECT($AA$4&amp;A179+1),$E$2:INDIRECT($AA$4&amp;"$2")),"-")</f>
        <v>-</v>
      </c>
      <c r="E179" s="2" t="str">
        <f ca="1">IF(E$1&gt;$Z$4,"-",IF(COUNTIF($D$3:$D179,E$2)=$Z$3,"Full",SUMIFS($C$3:$C179,$D$3:$D179,E$2)))</f>
        <v>Full</v>
      </c>
      <c r="F179" s="2" t="str">
        <f>IF(F$1&gt;$Z$4,"-",IF(COUNTIF($D$3:$D179,F$2)=$Z$3,"Full",SUMIFS($C$3:$C179,$D$3:$D179,F$2)))</f>
        <v>-</v>
      </c>
      <c r="G179" s="2" t="str">
        <f>IF(G$1&gt;$Z$4,"-",IF(COUNTIF($D$3:$D179,G$2)=$Z$3,"Full",SUMIFS($C$3:$C179,$D$3:$D179,G$2)))</f>
        <v>-</v>
      </c>
      <c r="H179" s="2" t="str">
        <f>IF(H$1&gt;$Z$4,"-",IF(COUNTIF($D$3:$D179,H$2)=$Z$3,"Full",SUMIFS($C$3:$C179,$D$3:$D179,H$2)))</f>
        <v>-</v>
      </c>
      <c r="I179" s="2" t="str">
        <f>IF(I$1&gt;$Z$4,"-",IF(COUNTIF($D$3:$D179,I$2)=$Z$3,"Full",SUMIFS($C$3:$C179,$D$3:$D179,I$2)))</f>
        <v>-</v>
      </c>
      <c r="J179" s="2" t="str">
        <f>IF(J$1&gt;$Z$4,"-",IF(COUNTIF($D$3:$D179,J$2)=$Z$3,"Full",SUMIFS($C$3:$C179,$D$3:$D179,J$2)))</f>
        <v>-</v>
      </c>
      <c r="K179" s="2" t="str">
        <f>IF(K$1&gt;$Z$4,"-",IF(COUNTIF($D$3:$D179,K$2)=$Z$3,"Full",SUMIFS($C$3:$C179,$D$3:$D179,K$2)))</f>
        <v>-</v>
      </c>
      <c r="L179" s="2" t="str">
        <f>IF(L$1&gt;$Z$4,"-",IF(COUNTIF($D$3:$D179,L$2)=$Z$3,"Full",SUMIFS($C$3:$C179,$D$3:$D179,L$2)))</f>
        <v>-</v>
      </c>
      <c r="M179" s="2" t="str">
        <f>IF(M$1&gt;$Z$4,"-",IF(COUNTIF($D$3:$D179,M$2)=$Z$3,"Full",SUMIFS($C$3:$C179,$D$3:$D179,M$2)))</f>
        <v>-</v>
      </c>
      <c r="N179" s="2" t="str">
        <f>IF(N$1&gt;$Z$4,"-",IF(COUNTIF($D$3:$D179,N$2)=$Z$3,"Full",SUMIFS($C$3:$C179,$D$3:$D179,N$2)))</f>
        <v>-</v>
      </c>
      <c r="O179" s="2" t="str">
        <f>IF(O$1&gt;$Z$4,"-",IF(COUNTIF($D$3:$D179,O$2)=$Z$3,"Full",SUMIFS($C$3:$C179,$D$3:$D179,O$2)))</f>
        <v>-</v>
      </c>
      <c r="P179" s="2" t="str">
        <f>IF(P$1&gt;$Z$4,"-",IF(COUNTIF($D$3:$D179,P$2)=$Z$3,"Full",SUMIFS($C$3:$C179,$D$3:$D179,P$2)))</f>
        <v>-</v>
      </c>
      <c r="Q179" s="2" t="str">
        <f>IF(Q$1&gt;$Z$4,"-",IF(COUNTIF($D$3:$D179,Q$2)=$Z$3,"Full",SUMIFS($C$3:$C179,$D$3:$D179,Q$2)))</f>
        <v>-</v>
      </c>
      <c r="R179" s="2" t="str">
        <f>IF(R$1&gt;$Z$4,"-",IF(COUNTIF($D$3:$D179,R$2)=$Z$3,"Full",SUMIFS($C$3:$C179,$D$3:$D179,R$2)))</f>
        <v>-</v>
      </c>
      <c r="S179" s="2" t="str">
        <f>IF(S$1&gt;$Z$4,"-",IF(COUNTIF($D$3:$D179,S$2)=$Z$3,"Full",SUMIFS($C$3:$C179,$D$3:$D179,S$2)))</f>
        <v>-</v>
      </c>
      <c r="T179" s="11" t="str">
        <f>IF(T$1&gt;$Z$4,"-",IF(COUNTIF($D$3:$D179,T$2)=$Z$3,"Full",SUMIFS($C$3:$C179,$D$3:$D179,T$2)))</f>
        <v>-</v>
      </c>
    </row>
    <row r="180" spans="1:20" x14ac:dyDescent="0.25">
      <c r="A180" s="10" t="str">
        <f t="shared" si="155"/>
        <v/>
      </c>
      <c r="D180" s="2" t="str" cm="1">
        <f t="array" aca="1" ref="D180" ca="1">IFERROR(_xlfn.XLOOKUP(MIN(E179:INDIRECT($AA$4&amp;A180+1)),E179:INDIRECT($AA$4&amp;A180+1),$E$2:INDIRECT($AA$4&amp;"$2")),"-")</f>
        <v>-</v>
      </c>
      <c r="E180" s="2" t="str">
        <f ca="1">IF(E$1&gt;$Z$4,"-",IF(COUNTIF($D$3:$D180,E$2)=$Z$3,"Full",SUMIFS($C$3:$C180,$D$3:$D180,E$2)))</f>
        <v>Full</v>
      </c>
      <c r="F180" s="2" t="str">
        <f>IF(F$1&gt;$Z$4,"-",IF(COUNTIF($D$3:$D180,F$2)=$Z$3,"Full",SUMIFS($C$3:$C180,$D$3:$D180,F$2)))</f>
        <v>-</v>
      </c>
      <c r="G180" s="2" t="str">
        <f>IF(G$1&gt;$Z$4,"-",IF(COUNTIF($D$3:$D180,G$2)=$Z$3,"Full",SUMIFS($C$3:$C180,$D$3:$D180,G$2)))</f>
        <v>-</v>
      </c>
      <c r="H180" s="2" t="str">
        <f>IF(H$1&gt;$Z$4,"-",IF(COUNTIF($D$3:$D180,H$2)=$Z$3,"Full",SUMIFS($C$3:$C180,$D$3:$D180,H$2)))</f>
        <v>-</v>
      </c>
      <c r="I180" s="2" t="str">
        <f>IF(I$1&gt;$Z$4,"-",IF(COUNTIF($D$3:$D180,I$2)=$Z$3,"Full",SUMIFS($C$3:$C180,$D$3:$D180,I$2)))</f>
        <v>-</v>
      </c>
      <c r="J180" s="2" t="str">
        <f>IF(J$1&gt;$Z$4,"-",IF(COUNTIF($D$3:$D180,J$2)=$Z$3,"Full",SUMIFS($C$3:$C180,$D$3:$D180,J$2)))</f>
        <v>-</v>
      </c>
      <c r="K180" s="2" t="str">
        <f>IF(K$1&gt;$Z$4,"-",IF(COUNTIF($D$3:$D180,K$2)=$Z$3,"Full",SUMIFS($C$3:$C180,$D$3:$D180,K$2)))</f>
        <v>-</v>
      </c>
      <c r="L180" s="2" t="str">
        <f>IF(L$1&gt;$Z$4,"-",IF(COUNTIF($D$3:$D180,L$2)=$Z$3,"Full",SUMIFS($C$3:$C180,$D$3:$D180,L$2)))</f>
        <v>-</v>
      </c>
      <c r="M180" s="2" t="str">
        <f>IF(M$1&gt;$Z$4,"-",IF(COUNTIF($D$3:$D180,M$2)=$Z$3,"Full",SUMIFS($C$3:$C180,$D$3:$D180,M$2)))</f>
        <v>-</v>
      </c>
      <c r="N180" s="2" t="str">
        <f>IF(N$1&gt;$Z$4,"-",IF(COUNTIF($D$3:$D180,N$2)=$Z$3,"Full",SUMIFS($C$3:$C180,$D$3:$D180,N$2)))</f>
        <v>-</v>
      </c>
      <c r="O180" s="2" t="str">
        <f>IF(O$1&gt;$Z$4,"-",IF(COUNTIF($D$3:$D180,O$2)=$Z$3,"Full",SUMIFS($C$3:$C180,$D$3:$D180,O$2)))</f>
        <v>-</v>
      </c>
      <c r="P180" s="2" t="str">
        <f>IF(P$1&gt;$Z$4,"-",IF(COUNTIF($D$3:$D180,P$2)=$Z$3,"Full",SUMIFS($C$3:$C180,$D$3:$D180,P$2)))</f>
        <v>-</v>
      </c>
      <c r="Q180" s="2" t="str">
        <f>IF(Q$1&gt;$Z$4,"-",IF(COUNTIF($D$3:$D180,Q$2)=$Z$3,"Full",SUMIFS($C$3:$C180,$D$3:$D180,Q$2)))</f>
        <v>-</v>
      </c>
      <c r="R180" s="2" t="str">
        <f>IF(R$1&gt;$Z$4,"-",IF(COUNTIF($D$3:$D180,R$2)=$Z$3,"Full",SUMIFS($C$3:$C180,$D$3:$D180,R$2)))</f>
        <v>-</v>
      </c>
      <c r="S180" s="2" t="str">
        <f>IF(S$1&gt;$Z$4,"-",IF(COUNTIF($D$3:$D180,S$2)=$Z$3,"Full",SUMIFS($C$3:$C180,$D$3:$D180,S$2)))</f>
        <v>-</v>
      </c>
      <c r="T180" s="11" t="str">
        <f>IF(T$1&gt;$Z$4,"-",IF(COUNTIF($D$3:$D180,T$2)=$Z$3,"Full",SUMIFS($C$3:$C180,$D$3:$D180,T$2)))</f>
        <v>-</v>
      </c>
    </row>
    <row r="181" spans="1:20" x14ac:dyDescent="0.25">
      <c r="A181" s="10" t="str">
        <f t="shared" si="155"/>
        <v/>
      </c>
      <c r="D181" s="2" t="str" cm="1">
        <f t="array" aca="1" ref="D181" ca="1">IFERROR(_xlfn.XLOOKUP(MIN(E180:INDIRECT($AA$4&amp;A181+1)),E180:INDIRECT($AA$4&amp;A181+1),$E$2:INDIRECT($AA$4&amp;"$2")),"-")</f>
        <v>-</v>
      </c>
      <c r="E181" s="2" t="str">
        <f ca="1">IF(E$1&gt;$Z$4,"-",IF(COUNTIF($D$3:$D181,E$2)=$Z$3,"Full",SUMIFS($C$3:$C181,$D$3:$D181,E$2)))</f>
        <v>Full</v>
      </c>
      <c r="F181" s="2" t="str">
        <f>IF(F$1&gt;$Z$4,"-",IF(COUNTIF($D$3:$D181,F$2)=$Z$3,"Full",SUMIFS($C$3:$C181,$D$3:$D181,F$2)))</f>
        <v>-</v>
      </c>
      <c r="G181" s="2" t="str">
        <f>IF(G$1&gt;$Z$4,"-",IF(COUNTIF($D$3:$D181,G$2)=$Z$3,"Full",SUMIFS($C$3:$C181,$D$3:$D181,G$2)))</f>
        <v>-</v>
      </c>
      <c r="H181" s="2" t="str">
        <f>IF(H$1&gt;$Z$4,"-",IF(COUNTIF($D$3:$D181,H$2)=$Z$3,"Full",SUMIFS($C$3:$C181,$D$3:$D181,H$2)))</f>
        <v>-</v>
      </c>
      <c r="I181" s="2" t="str">
        <f>IF(I$1&gt;$Z$4,"-",IF(COUNTIF($D$3:$D181,I$2)=$Z$3,"Full",SUMIFS($C$3:$C181,$D$3:$D181,I$2)))</f>
        <v>-</v>
      </c>
      <c r="J181" s="2" t="str">
        <f>IF(J$1&gt;$Z$4,"-",IF(COUNTIF($D$3:$D181,J$2)=$Z$3,"Full",SUMIFS($C$3:$C181,$D$3:$D181,J$2)))</f>
        <v>-</v>
      </c>
      <c r="K181" s="2" t="str">
        <f>IF(K$1&gt;$Z$4,"-",IF(COUNTIF($D$3:$D181,K$2)=$Z$3,"Full",SUMIFS($C$3:$C181,$D$3:$D181,K$2)))</f>
        <v>-</v>
      </c>
      <c r="L181" s="2" t="str">
        <f>IF(L$1&gt;$Z$4,"-",IF(COUNTIF($D$3:$D181,L$2)=$Z$3,"Full",SUMIFS($C$3:$C181,$D$3:$D181,L$2)))</f>
        <v>-</v>
      </c>
      <c r="M181" s="2" t="str">
        <f>IF(M$1&gt;$Z$4,"-",IF(COUNTIF($D$3:$D181,M$2)=$Z$3,"Full",SUMIFS($C$3:$C181,$D$3:$D181,M$2)))</f>
        <v>-</v>
      </c>
      <c r="N181" s="2" t="str">
        <f>IF(N$1&gt;$Z$4,"-",IF(COUNTIF($D$3:$D181,N$2)=$Z$3,"Full",SUMIFS($C$3:$C181,$D$3:$D181,N$2)))</f>
        <v>-</v>
      </c>
      <c r="O181" s="2" t="str">
        <f>IF(O$1&gt;$Z$4,"-",IF(COUNTIF($D$3:$D181,O$2)=$Z$3,"Full",SUMIFS($C$3:$C181,$D$3:$D181,O$2)))</f>
        <v>-</v>
      </c>
      <c r="P181" s="2" t="str">
        <f>IF(P$1&gt;$Z$4,"-",IF(COUNTIF($D$3:$D181,P$2)=$Z$3,"Full",SUMIFS($C$3:$C181,$D$3:$D181,P$2)))</f>
        <v>-</v>
      </c>
      <c r="Q181" s="2" t="str">
        <f>IF(Q$1&gt;$Z$4,"-",IF(COUNTIF($D$3:$D181,Q$2)=$Z$3,"Full",SUMIFS($C$3:$C181,$D$3:$D181,Q$2)))</f>
        <v>-</v>
      </c>
      <c r="R181" s="2" t="str">
        <f>IF(R$1&gt;$Z$4,"-",IF(COUNTIF($D$3:$D181,R$2)=$Z$3,"Full",SUMIFS($C$3:$C181,$D$3:$D181,R$2)))</f>
        <v>-</v>
      </c>
      <c r="S181" s="2" t="str">
        <f>IF(S$1&gt;$Z$4,"-",IF(COUNTIF($D$3:$D181,S$2)=$Z$3,"Full",SUMIFS($C$3:$C181,$D$3:$D181,S$2)))</f>
        <v>-</v>
      </c>
      <c r="T181" s="11" t="str">
        <f>IF(T$1&gt;$Z$4,"-",IF(COUNTIF($D$3:$D181,T$2)=$Z$3,"Full",SUMIFS($C$3:$C181,$D$3:$D181,T$2)))</f>
        <v>-</v>
      </c>
    </row>
    <row r="182" spans="1:20" x14ac:dyDescent="0.25">
      <c r="A182" s="10" t="str">
        <f t="shared" si="155"/>
        <v/>
      </c>
      <c r="D182" s="2" t="str" cm="1">
        <f t="array" aca="1" ref="D182" ca="1">IFERROR(_xlfn.XLOOKUP(MIN(E181:INDIRECT($AA$4&amp;A182+1)),E181:INDIRECT($AA$4&amp;A182+1),$E$2:INDIRECT($AA$4&amp;"$2")),"-")</f>
        <v>-</v>
      </c>
      <c r="E182" s="2" t="str">
        <f ca="1">IF(E$1&gt;$Z$4,"-",IF(COUNTIF($D$3:$D182,E$2)=$Z$3,"Full",SUMIFS($C$3:$C182,$D$3:$D182,E$2)))</f>
        <v>Full</v>
      </c>
      <c r="F182" s="2" t="str">
        <f>IF(F$1&gt;$Z$4,"-",IF(COUNTIF($D$3:$D182,F$2)=$Z$3,"Full",SUMIFS($C$3:$C182,$D$3:$D182,F$2)))</f>
        <v>-</v>
      </c>
      <c r="G182" s="2" t="str">
        <f>IF(G$1&gt;$Z$4,"-",IF(COUNTIF($D$3:$D182,G$2)=$Z$3,"Full",SUMIFS($C$3:$C182,$D$3:$D182,G$2)))</f>
        <v>-</v>
      </c>
      <c r="H182" s="2" t="str">
        <f>IF(H$1&gt;$Z$4,"-",IF(COUNTIF($D$3:$D182,H$2)=$Z$3,"Full",SUMIFS($C$3:$C182,$D$3:$D182,H$2)))</f>
        <v>-</v>
      </c>
      <c r="I182" s="2" t="str">
        <f>IF(I$1&gt;$Z$4,"-",IF(COUNTIF($D$3:$D182,I$2)=$Z$3,"Full",SUMIFS($C$3:$C182,$D$3:$D182,I$2)))</f>
        <v>-</v>
      </c>
      <c r="J182" s="2" t="str">
        <f>IF(J$1&gt;$Z$4,"-",IF(COUNTIF($D$3:$D182,J$2)=$Z$3,"Full",SUMIFS($C$3:$C182,$D$3:$D182,J$2)))</f>
        <v>-</v>
      </c>
      <c r="K182" s="2" t="str">
        <f>IF(K$1&gt;$Z$4,"-",IF(COUNTIF($D$3:$D182,K$2)=$Z$3,"Full",SUMIFS($C$3:$C182,$D$3:$D182,K$2)))</f>
        <v>-</v>
      </c>
      <c r="L182" s="2" t="str">
        <f>IF(L$1&gt;$Z$4,"-",IF(COUNTIF($D$3:$D182,L$2)=$Z$3,"Full",SUMIFS($C$3:$C182,$D$3:$D182,L$2)))</f>
        <v>-</v>
      </c>
      <c r="M182" s="2" t="str">
        <f>IF(M$1&gt;$Z$4,"-",IF(COUNTIF($D$3:$D182,M$2)=$Z$3,"Full",SUMIFS($C$3:$C182,$D$3:$D182,M$2)))</f>
        <v>-</v>
      </c>
      <c r="N182" s="2" t="str">
        <f>IF(N$1&gt;$Z$4,"-",IF(COUNTIF($D$3:$D182,N$2)=$Z$3,"Full",SUMIFS($C$3:$C182,$D$3:$D182,N$2)))</f>
        <v>-</v>
      </c>
      <c r="O182" s="2" t="str">
        <f>IF(O$1&gt;$Z$4,"-",IF(COUNTIF($D$3:$D182,O$2)=$Z$3,"Full",SUMIFS($C$3:$C182,$D$3:$D182,O$2)))</f>
        <v>-</v>
      </c>
      <c r="P182" s="2" t="str">
        <f>IF(P$1&gt;$Z$4,"-",IF(COUNTIF($D$3:$D182,P$2)=$Z$3,"Full",SUMIFS($C$3:$C182,$D$3:$D182,P$2)))</f>
        <v>-</v>
      </c>
      <c r="Q182" s="2" t="str">
        <f>IF(Q$1&gt;$Z$4,"-",IF(COUNTIF($D$3:$D182,Q$2)=$Z$3,"Full",SUMIFS($C$3:$C182,$D$3:$D182,Q$2)))</f>
        <v>-</v>
      </c>
      <c r="R182" s="2" t="str">
        <f>IF(R$1&gt;$Z$4,"-",IF(COUNTIF($D$3:$D182,R$2)=$Z$3,"Full",SUMIFS($C$3:$C182,$D$3:$D182,R$2)))</f>
        <v>-</v>
      </c>
      <c r="S182" s="2" t="str">
        <f>IF(S$1&gt;$Z$4,"-",IF(COUNTIF($D$3:$D182,S$2)=$Z$3,"Full",SUMIFS($C$3:$C182,$D$3:$D182,S$2)))</f>
        <v>-</v>
      </c>
      <c r="T182" s="11" t="str">
        <f>IF(T$1&gt;$Z$4,"-",IF(COUNTIF($D$3:$D182,T$2)=$Z$3,"Full",SUMIFS($C$3:$C182,$D$3:$D182,T$2)))</f>
        <v>-</v>
      </c>
    </row>
    <row r="183" spans="1:20" x14ac:dyDescent="0.25">
      <c r="A183" s="10" t="str">
        <f t="shared" si="155"/>
        <v/>
      </c>
      <c r="D183" s="2" t="str" cm="1">
        <f t="array" aca="1" ref="D183" ca="1">IFERROR(_xlfn.XLOOKUP(MIN(E182:INDIRECT($AA$4&amp;A183+1)),E182:INDIRECT($AA$4&amp;A183+1),$E$2:INDIRECT($AA$4&amp;"$2")),"-")</f>
        <v>-</v>
      </c>
      <c r="E183" s="2" t="str">
        <f ca="1">IF(E$1&gt;$Z$4,"-",IF(COUNTIF($D$3:$D183,E$2)=$Z$3,"Full",SUMIFS($C$3:$C183,$D$3:$D183,E$2)))</f>
        <v>Full</v>
      </c>
      <c r="F183" s="2" t="str">
        <f>IF(F$1&gt;$Z$4,"-",IF(COUNTIF($D$3:$D183,F$2)=$Z$3,"Full",SUMIFS($C$3:$C183,$D$3:$D183,F$2)))</f>
        <v>-</v>
      </c>
      <c r="G183" s="2" t="str">
        <f>IF(G$1&gt;$Z$4,"-",IF(COUNTIF($D$3:$D183,G$2)=$Z$3,"Full",SUMIFS($C$3:$C183,$D$3:$D183,G$2)))</f>
        <v>-</v>
      </c>
      <c r="H183" s="2" t="str">
        <f>IF(H$1&gt;$Z$4,"-",IF(COUNTIF($D$3:$D183,H$2)=$Z$3,"Full",SUMIFS($C$3:$C183,$D$3:$D183,H$2)))</f>
        <v>-</v>
      </c>
      <c r="I183" s="2" t="str">
        <f>IF(I$1&gt;$Z$4,"-",IF(COUNTIF($D$3:$D183,I$2)=$Z$3,"Full",SUMIFS($C$3:$C183,$D$3:$D183,I$2)))</f>
        <v>-</v>
      </c>
      <c r="J183" s="2" t="str">
        <f>IF(J$1&gt;$Z$4,"-",IF(COUNTIF($D$3:$D183,J$2)=$Z$3,"Full",SUMIFS($C$3:$C183,$D$3:$D183,J$2)))</f>
        <v>-</v>
      </c>
      <c r="K183" s="2" t="str">
        <f>IF(K$1&gt;$Z$4,"-",IF(COUNTIF($D$3:$D183,K$2)=$Z$3,"Full",SUMIFS($C$3:$C183,$D$3:$D183,K$2)))</f>
        <v>-</v>
      </c>
      <c r="L183" s="2" t="str">
        <f>IF(L$1&gt;$Z$4,"-",IF(COUNTIF($D$3:$D183,L$2)=$Z$3,"Full",SUMIFS($C$3:$C183,$D$3:$D183,L$2)))</f>
        <v>-</v>
      </c>
      <c r="M183" s="2" t="str">
        <f>IF(M$1&gt;$Z$4,"-",IF(COUNTIF($D$3:$D183,M$2)=$Z$3,"Full",SUMIFS($C$3:$C183,$D$3:$D183,M$2)))</f>
        <v>-</v>
      </c>
      <c r="N183" s="2" t="str">
        <f>IF(N$1&gt;$Z$4,"-",IF(COUNTIF($D$3:$D183,N$2)=$Z$3,"Full",SUMIFS($C$3:$C183,$D$3:$D183,N$2)))</f>
        <v>-</v>
      </c>
      <c r="O183" s="2" t="str">
        <f>IF(O$1&gt;$Z$4,"-",IF(COUNTIF($D$3:$D183,O$2)=$Z$3,"Full",SUMIFS($C$3:$C183,$D$3:$D183,O$2)))</f>
        <v>-</v>
      </c>
      <c r="P183" s="2" t="str">
        <f>IF(P$1&gt;$Z$4,"-",IF(COUNTIF($D$3:$D183,P$2)=$Z$3,"Full",SUMIFS($C$3:$C183,$D$3:$D183,P$2)))</f>
        <v>-</v>
      </c>
      <c r="Q183" s="2" t="str">
        <f>IF(Q$1&gt;$Z$4,"-",IF(COUNTIF($D$3:$D183,Q$2)=$Z$3,"Full",SUMIFS($C$3:$C183,$D$3:$D183,Q$2)))</f>
        <v>-</v>
      </c>
      <c r="R183" s="2" t="str">
        <f>IF(R$1&gt;$Z$4,"-",IF(COUNTIF($D$3:$D183,R$2)=$Z$3,"Full",SUMIFS($C$3:$C183,$D$3:$D183,R$2)))</f>
        <v>-</v>
      </c>
      <c r="S183" s="2" t="str">
        <f>IF(S$1&gt;$Z$4,"-",IF(COUNTIF($D$3:$D183,S$2)=$Z$3,"Full",SUMIFS($C$3:$C183,$D$3:$D183,S$2)))</f>
        <v>-</v>
      </c>
      <c r="T183" s="11" t="str">
        <f>IF(T$1&gt;$Z$4,"-",IF(COUNTIF($D$3:$D183,T$2)=$Z$3,"Full",SUMIFS($C$3:$C183,$D$3:$D183,T$2)))</f>
        <v>-</v>
      </c>
    </row>
    <row r="184" spans="1:20" x14ac:dyDescent="0.25">
      <c r="A184" s="10" t="str">
        <f t="shared" si="155"/>
        <v/>
      </c>
      <c r="D184" s="2" t="str" cm="1">
        <f t="array" aca="1" ref="D184" ca="1">IFERROR(_xlfn.XLOOKUP(MIN(E183:INDIRECT($AA$4&amp;A184+1)),E183:INDIRECT($AA$4&amp;A184+1),$E$2:INDIRECT($AA$4&amp;"$2")),"-")</f>
        <v>-</v>
      </c>
      <c r="E184" s="2" t="str">
        <f ca="1">IF(E$1&gt;$Z$4,"-",IF(COUNTIF($D$3:$D184,E$2)=$Z$3,"Full",SUMIFS($C$3:$C184,$D$3:$D184,E$2)))</f>
        <v>Full</v>
      </c>
      <c r="F184" s="2" t="str">
        <f>IF(F$1&gt;$Z$4,"-",IF(COUNTIF($D$3:$D184,F$2)=$Z$3,"Full",SUMIFS($C$3:$C184,$D$3:$D184,F$2)))</f>
        <v>-</v>
      </c>
      <c r="G184" s="2" t="str">
        <f>IF(G$1&gt;$Z$4,"-",IF(COUNTIF($D$3:$D184,G$2)=$Z$3,"Full",SUMIFS($C$3:$C184,$D$3:$D184,G$2)))</f>
        <v>-</v>
      </c>
      <c r="H184" s="2" t="str">
        <f>IF(H$1&gt;$Z$4,"-",IF(COUNTIF($D$3:$D184,H$2)=$Z$3,"Full",SUMIFS($C$3:$C184,$D$3:$D184,H$2)))</f>
        <v>-</v>
      </c>
      <c r="I184" s="2" t="str">
        <f>IF(I$1&gt;$Z$4,"-",IF(COUNTIF($D$3:$D184,I$2)=$Z$3,"Full",SUMIFS($C$3:$C184,$D$3:$D184,I$2)))</f>
        <v>-</v>
      </c>
      <c r="J184" s="2" t="str">
        <f>IF(J$1&gt;$Z$4,"-",IF(COUNTIF($D$3:$D184,J$2)=$Z$3,"Full",SUMIFS($C$3:$C184,$D$3:$D184,J$2)))</f>
        <v>-</v>
      </c>
      <c r="K184" s="2" t="str">
        <f>IF(K$1&gt;$Z$4,"-",IF(COUNTIF($D$3:$D184,K$2)=$Z$3,"Full",SUMIFS($C$3:$C184,$D$3:$D184,K$2)))</f>
        <v>-</v>
      </c>
      <c r="L184" s="2" t="str">
        <f>IF(L$1&gt;$Z$4,"-",IF(COUNTIF($D$3:$D184,L$2)=$Z$3,"Full",SUMIFS($C$3:$C184,$D$3:$D184,L$2)))</f>
        <v>-</v>
      </c>
      <c r="M184" s="2" t="str">
        <f>IF(M$1&gt;$Z$4,"-",IF(COUNTIF($D$3:$D184,M$2)=$Z$3,"Full",SUMIFS($C$3:$C184,$D$3:$D184,M$2)))</f>
        <v>-</v>
      </c>
      <c r="N184" s="2" t="str">
        <f>IF(N$1&gt;$Z$4,"-",IF(COUNTIF($D$3:$D184,N$2)=$Z$3,"Full",SUMIFS($C$3:$C184,$D$3:$D184,N$2)))</f>
        <v>-</v>
      </c>
      <c r="O184" s="2" t="str">
        <f>IF(O$1&gt;$Z$4,"-",IF(COUNTIF($D$3:$D184,O$2)=$Z$3,"Full",SUMIFS($C$3:$C184,$D$3:$D184,O$2)))</f>
        <v>-</v>
      </c>
      <c r="P184" s="2" t="str">
        <f>IF(P$1&gt;$Z$4,"-",IF(COUNTIF($D$3:$D184,P$2)=$Z$3,"Full",SUMIFS($C$3:$C184,$D$3:$D184,P$2)))</f>
        <v>-</v>
      </c>
      <c r="Q184" s="2" t="str">
        <f>IF(Q$1&gt;$Z$4,"-",IF(COUNTIF($D$3:$D184,Q$2)=$Z$3,"Full",SUMIFS($C$3:$C184,$D$3:$D184,Q$2)))</f>
        <v>-</v>
      </c>
      <c r="R184" s="2" t="str">
        <f>IF(R$1&gt;$Z$4,"-",IF(COUNTIF($D$3:$D184,R$2)=$Z$3,"Full",SUMIFS($C$3:$C184,$D$3:$D184,R$2)))</f>
        <v>-</v>
      </c>
      <c r="S184" s="2" t="str">
        <f>IF(S$1&gt;$Z$4,"-",IF(COUNTIF($D$3:$D184,S$2)=$Z$3,"Full",SUMIFS($C$3:$C184,$D$3:$D184,S$2)))</f>
        <v>-</v>
      </c>
      <c r="T184" s="11" t="str">
        <f>IF(T$1&gt;$Z$4,"-",IF(COUNTIF($D$3:$D184,T$2)=$Z$3,"Full",SUMIFS($C$3:$C184,$D$3:$D184,T$2)))</f>
        <v>-</v>
      </c>
    </row>
    <row r="185" spans="1:20" x14ac:dyDescent="0.25">
      <c r="A185" s="10" t="str">
        <f t="shared" si="155"/>
        <v/>
      </c>
      <c r="D185" s="2" t="str" cm="1">
        <f t="array" aca="1" ref="D185" ca="1">IFERROR(_xlfn.XLOOKUP(MIN(E184:INDIRECT($AA$4&amp;A185+1)),E184:INDIRECT($AA$4&amp;A185+1),$E$2:INDIRECT($AA$4&amp;"$2")),"-")</f>
        <v>-</v>
      </c>
      <c r="E185" s="2" t="str">
        <f ca="1">IF(E$1&gt;$Z$4,"-",IF(COUNTIF($D$3:$D185,E$2)=$Z$3,"Full",SUMIFS($C$3:$C185,$D$3:$D185,E$2)))</f>
        <v>Full</v>
      </c>
      <c r="F185" s="2" t="str">
        <f>IF(F$1&gt;$Z$4,"-",IF(COUNTIF($D$3:$D185,F$2)=$Z$3,"Full",SUMIFS($C$3:$C185,$D$3:$D185,F$2)))</f>
        <v>-</v>
      </c>
      <c r="G185" s="2" t="str">
        <f>IF(G$1&gt;$Z$4,"-",IF(COUNTIF($D$3:$D185,G$2)=$Z$3,"Full",SUMIFS($C$3:$C185,$D$3:$D185,G$2)))</f>
        <v>-</v>
      </c>
      <c r="H185" s="2" t="str">
        <f>IF(H$1&gt;$Z$4,"-",IF(COUNTIF($D$3:$D185,H$2)=$Z$3,"Full",SUMIFS($C$3:$C185,$D$3:$D185,H$2)))</f>
        <v>-</v>
      </c>
      <c r="I185" s="2" t="str">
        <f>IF(I$1&gt;$Z$4,"-",IF(COUNTIF($D$3:$D185,I$2)=$Z$3,"Full",SUMIFS($C$3:$C185,$D$3:$D185,I$2)))</f>
        <v>-</v>
      </c>
      <c r="J185" s="2" t="str">
        <f>IF(J$1&gt;$Z$4,"-",IF(COUNTIF($D$3:$D185,J$2)=$Z$3,"Full",SUMIFS($C$3:$C185,$D$3:$D185,J$2)))</f>
        <v>-</v>
      </c>
      <c r="K185" s="2" t="str">
        <f>IF(K$1&gt;$Z$4,"-",IF(COUNTIF($D$3:$D185,K$2)=$Z$3,"Full",SUMIFS($C$3:$C185,$D$3:$D185,K$2)))</f>
        <v>-</v>
      </c>
      <c r="L185" s="2" t="str">
        <f>IF(L$1&gt;$Z$4,"-",IF(COUNTIF($D$3:$D185,L$2)=$Z$3,"Full",SUMIFS($C$3:$C185,$D$3:$D185,L$2)))</f>
        <v>-</v>
      </c>
      <c r="M185" s="2" t="str">
        <f>IF(M$1&gt;$Z$4,"-",IF(COUNTIF($D$3:$D185,M$2)=$Z$3,"Full",SUMIFS($C$3:$C185,$D$3:$D185,M$2)))</f>
        <v>-</v>
      </c>
      <c r="N185" s="2" t="str">
        <f>IF(N$1&gt;$Z$4,"-",IF(COUNTIF($D$3:$D185,N$2)=$Z$3,"Full",SUMIFS($C$3:$C185,$D$3:$D185,N$2)))</f>
        <v>-</v>
      </c>
      <c r="O185" s="2" t="str">
        <f>IF(O$1&gt;$Z$4,"-",IF(COUNTIF($D$3:$D185,O$2)=$Z$3,"Full",SUMIFS($C$3:$C185,$D$3:$D185,O$2)))</f>
        <v>-</v>
      </c>
      <c r="P185" s="2" t="str">
        <f>IF(P$1&gt;$Z$4,"-",IF(COUNTIF($D$3:$D185,P$2)=$Z$3,"Full",SUMIFS($C$3:$C185,$D$3:$D185,P$2)))</f>
        <v>-</v>
      </c>
      <c r="Q185" s="2" t="str">
        <f>IF(Q$1&gt;$Z$4,"-",IF(COUNTIF($D$3:$D185,Q$2)=$Z$3,"Full",SUMIFS($C$3:$C185,$D$3:$D185,Q$2)))</f>
        <v>-</v>
      </c>
      <c r="R185" s="2" t="str">
        <f>IF(R$1&gt;$Z$4,"-",IF(COUNTIF($D$3:$D185,R$2)=$Z$3,"Full",SUMIFS($C$3:$C185,$D$3:$D185,R$2)))</f>
        <v>-</v>
      </c>
      <c r="S185" s="2" t="str">
        <f>IF(S$1&gt;$Z$4,"-",IF(COUNTIF($D$3:$D185,S$2)=$Z$3,"Full",SUMIFS($C$3:$C185,$D$3:$D185,S$2)))</f>
        <v>-</v>
      </c>
      <c r="T185" s="11" t="str">
        <f>IF(T$1&gt;$Z$4,"-",IF(COUNTIF($D$3:$D185,T$2)=$Z$3,"Full",SUMIFS($C$3:$C185,$D$3:$D185,T$2)))</f>
        <v>-</v>
      </c>
    </row>
    <row r="186" spans="1:20" x14ac:dyDescent="0.25">
      <c r="A186" s="10" t="str">
        <f t="shared" si="155"/>
        <v/>
      </c>
      <c r="D186" s="2" t="str" cm="1">
        <f t="array" aca="1" ref="D186" ca="1">IFERROR(_xlfn.XLOOKUP(MIN(E185:INDIRECT($AA$4&amp;A186+1)),E185:INDIRECT($AA$4&amp;A186+1),$E$2:INDIRECT($AA$4&amp;"$2")),"-")</f>
        <v>-</v>
      </c>
      <c r="E186" s="2" t="str">
        <f ca="1">IF(E$1&gt;$Z$4,"-",IF(COUNTIF($D$3:$D186,E$2)=$Z$3,"Full",SUMIFS($C$3:$C186,$D$3:$D186,E$2)))</f>
        <v>Full</v>
      </c>
      <c r="F186" s="2" t="str">
        <f>IF(F$1&gt;$Z$4,"-",IF(COUNTIF($D$3:$D186,F$2)=$Z$3,"Full",SUMIFS($C$3:$C186,$D$3:$D186,F$2)))</f>
        <v>-</v>
      </c>
      <c r="G186" s="2" t="str">
        <f>IF(G$1&gt;$Z$4,"-",IF(COUNTIF($D$3:$D186,G$2)=$Z$3,"Full",SUMIFS($C$3:$C186,$D$3:$D186,G$2)))</f>
        <v>-</v>
      </c>
      <c r="H186" s="2" t="str">
        <f>IF(H$1&gt;$Z$4,"-",IF(COUNTIF($D$3:$D186,H$2)=$Z$3,"Full",SUMIFS($C$3:$C186,$D$3:$D186,H$2)))</f>
        <v>-</v>
      </c>
      <c r="I186" s="2" t="str">
        <f>IF(I$1&gt;$Z$4,"-",IF(COUNTIF($D$3:$D186,I$2)=$Z$3,"Full",SUMIFS($C$3:$C186,$D$3:$D186,I$2)))</f>
        <v>-</v>
      </c>
      <c r="J186" s="2" t="str">
        <f>IF(J$1&gt;$Z$4,"-",IF(COUNTIF($D$3:$D186,J$2)=$Z$3,"Full",SUMIFS($C$3:$C186,$D$3:$D186,J$2)))</f>
        <v>-</v>
      </c>
      <c r="K186" s="2" t="str">
        <f>IF(K$1&gt;$Z$4,"-",IF(COUNTIF($D$3:$D186,K$2)=$Z$3,"Full",SUMIFS($C$3:$C186,$D$3:$D186,K$2)))</f>
        <v>-</v>
      </c>
      <c r="L186" s="2" t="str">
        <f>IF(L$1&gt;$Z$4,"-",IF(COUNTIF($D$3:$D186,L$2)=$Z$3,"Full",SUMIFS($C$3:$C186,$D$3:$D186,L$2)))</f>
        <v>-</v>
      </c>
      <c r="M186" s="2" t="str">
        <f>IF(M$1&gt;$Z$4,"-",IF(COUNTIF($D$3:$D186,M$2)=$Z$3,"Full",SUMIFS($C$3:$C186,$D$3:$D186,M$2)))</f>
        <v>-</v>
      </c>
      <c r="N186" s="2" t="str">
        <f>IF(N$1&gt;$Z$4,"-",IF(COUNTIF($D$3:$D186,N$2)=$Z$3,"Full",SUMIFS($C$3:$C186,$D$3:$D186,N$2)))</f>
        <v>-</v>
      </c>
      <c r="O186" s="2" t="str">
        <f>IF(O$1&gt;$Z$4,"-",IF(COUNTIF($D$3:$D186,O$2)=$Z$3,"Full",SUMIFS($C$3:$C186,$D$3:$D186,O$2)))</f>
        <v>-</v>
      </c>
      <c r="P186" s="2" t="str">
        <f>IF(P$1&gt;$Z$4,"-",IF(COUNTIF($D$3:$D186,P$2)=$Z$3,"Full",SUMIFS($C$3:$C186,$D$3:$D186,P$2)))</f>
        <v>-</v>
      </c>
      <c r="Q186" s="2" t="str">
        <f>IF(Q$1&gt;$Z$4,"-",IF(COUNTIF($D$3:$D186,Q$2)=$Z$3,"Full",SUMIFS($C$3:$C186,$D$3:$D186,Q$2)))</f>
        <v>-</v>
      </c>
      <c r="R186" s="2" t="str">
        <f>IF(R$1&gt;$Z$4,"-",IF(COUNTIF($D$3:$D186,R$2)=$Z$3,"Full",SUMIFS($C$3:$C186,$D$3:$D186,R$2)))</f>
        <v>-</v>
      </c>
      <c r="S186" s="2" t="str">
        <f>IF(S$1&gt;$Z$4,"-",IF(COUNTIF($D$3:$D186,S$2)=$Z$3,"Full",SUMIFS($C$3:$C186,$D$3:$D186,S$2)))</f>
        <v>-</v>
      </c>
      <c r="T186" s="11" t="str">
        <f>IF(T$1&gt;$Z$4,"-",IF(COUNTIF($D$3:$D186,T$2)=$Z$3,"Full",SUMIFS($C$3:$C186,$D$3:$D186,T$2)))</f>
        <v>-</v>
      </c>
    </row>
    <row r="187" spans="1:20" x14ac:dyDescent="0.25">
      <c r="A187" s="10" t="str">
        <f t="shared" si="155"/>
        <v/>
      </c>
      <c r="D187" s="2" t="str" cm="1">
        <f t="array" aca="1" ref="D187" ca="1">IFERROR(_xlfn.XLOOKUP(MIN(E186:INDIRECT($AA$4&amp;A187+1)),E186:INDIRECT($AA$4&amp;A187+1),$E$2:INDIRECT($AA$4&amp;"$2")),"-")</f>
        <v>-</v>
      </c>
      <c r="E187" s="2" t="str">
        <f ca="1">IF(E$1&gt;$Z$4,"-",IF(COUNTIF($D$3:$D187,E$2)=$Z$3,"Full",SUMIFS($C$3:$C187,$D$3:$D187,E$2)))</f>
        <v>Full</v>
      </c>
      <c r="F187" s="2" t="str">
        <f>IF(F$1&gt;$Z$4,"-",IF(COUNTIF($D$3:$D187,F$2)=$Z$3,"Full",SUMIFS($C$3:$C187,$D$3:$D187,F$2)))</f>
        <v>-</v>
      </c>
      <c r="G187" s="2" t="str">
        <f>IF(G$1&gt;$Z$4,"-",IF(COUNTIF($D$3:$D187,G$2)=$Z$3,"Full",SUMIFS($C$3:$C187,$D$3:$D187,G$2)))</f>
        <v>-</v>
      </c>
      <c r="H187" s="2" t="str">
        <f>IF(H$1&gt;$Z$4,"-",IF(COUNTIF($D$3:$D187,H$2)=$Z$3,"Full",SUMIFS($C$3:$C187,$D$3:$D187,H$2)))</f>
        <v>-</v>
      </c>
      <c r="I187" s="2" t="str">
        <f>IF(I$1&gt;$Z$4,"-",IF(COUNTIF($D$3:$D187,I$2)=$Z$3,"Full",SUMIFS($C$3:$C187,$D$3:$D187,I$2)))</f>
        <v>-</v>
      </c>
      <c r="J187" s="2" t="str">
        <f>IF(J$1&gt;$Z$4,"-",IF(COUNTIF($D$3:$D187,J$2)=$Z$3,"Full",SUMIFS($C$3:$C187,$D$3:$D187,J$2)))</f>
        <v>-</v>
      </c>
      <c r="K187" s="2" t="str">
        <f>IF(K$1&gt;$Z$4,"-",IF(COUNTIF($D$3:$D187,K$2)=$Z$3,"Full",SUMIFS($C$3:$C187,$D$3:$D187,K$2)))</f>
        <v>-</v>
      </c>
      <c r="L187" s="2" t="str">
        <f>IF(L$1&gt;$Z$4,"-",IF(COUNTIF($D$3:$D187,L$2)=$Z$3,"Full",SUMIFS($C$3:$C187,$D$3:$D187,L$2)))</f>
        <v>-</v>
      </c>
      <c r="M187" s="2" t="str">
        <f>IF(M$1&gt;$Z$4,"-",IF(COUNTIF($D$3:$D187,M$2)=$Z$3,"Full",SUMIFS($C$3:$C187,$D$3:$D187,M$2)))</f>
        <v>-</v>
      </c>
      <c r="N187" s="2" t="str">
        <f>IF(N$1&gt;$Z$4,"-",IF(COUNTIF($D$3:$D187,N$2)=$Z$3,"Full",SUMIFS($C$3:$C187,$D$3:$D187,N$2)))</f>
        <v>-</v>
      </c>
      <c r="O187" s="2" t="str">
        <f>IF(O$1&gt;$Z$4,"-",IF(COUNTIF($D$3:$D187,O$2)=$Z$3,"Full",SUMIFS($C$3:$C187,$D$3:$D187,O$2)))</f>
        <v>-</v>
      </c>
      <c r="P187" s="2" t="str">
        <f>IF(P$1&gt;$Z$4,"-",IF(COUNTIF($D$3:$D187,P$2)=$Z$3,"Full",SUMIFS($C$3:$C187,$D$3:$D187,P$2)))</f>
        <v>-</v>
      </c>
      <c r="Q187" s="2" t="str">
        <f>IF(Q$1&gt;$Z$4,"-",IF(COUNTIF($D$3:$D187,Q$2)=$Z$3,"Full",SUMIFS($C$3:$C187,$D$3:$D187,Q$2)))</f>
        <v>-</v>
      </c>
      <c r="R187" s="2" t="str">
        <f>IF(R$1&gt;$Z$4,"-",IF(COUNTIF($D$3:$D187,R$2)=$Z$3,"Full",SUMIFS($C$3:$C187,$D$3:$D187,R$2)))</f>
        <v>-</v>
      </c>
      <c r="S187" s="2" t="str">
        <f>IF(S$1&gt;$Z$4,"-",IF(COUNTIF($D$3:$D187,S$2)=$Z$3,"Full",SUMIFS($C$3:$C187,$D$3:$D187,S$2)))</f>
        <v>-</v>
      </c>
      <c r="T187" s="11" t="str">
        <f>IF(T$1&gt;$Z$4,"-",IF(COUNTIF($D$3:$D187,T$2)=$Z$3,"Full",SUMIFS($C$3:$C187,$D$3:$D187,T$2)))</f>
        <v>-</v>
      </c>
    </row>
    <row r="188" spans="1:20" x14ac:dyDescent="0.25">
      <c r="A188" s="10" t="str">
        <f t="shared" si="155"/>
        <v/>
      </c>
      <c r="D188" s="2" t="str" cm="1">
        <f t="array" aca="1" ref="D188" ca="1">IFERROR(_xlfn.XLOOKUP(MIN(E187:INDIRECT($AA$4&amp;A188+1)),E187:INDIRECT($AA$4&amp;A188+1),$E$2:INDIRECT($AA$4&amp;"$2")),"-")</f>
        <v>-</v>
      </c>
      <c r="E188" s="2" t="str">
        <f ca="1">IF(E$1&gt;$Z$4,"-",IF(COUNTIF($D$3:$D188,E$2)=$Z$3,"Full",SUMIFS($C$3:$C188,$D$3:$D188,E$2)))</f>
        <v>Full</v>
      </c>
      <c r="F188" s="2" t="str">
        <f>IF(F$1&gt;$Z$4,"-",IF(COUNTIF($D$3:$D188,F$2)=$Z$3,"Full",SUMIFS($C$3:$C188,$D$3:$D188,F$2)))</f>
        <v>-</v>
      </c>
      <c r="G188" s="2" t="str">
        <f>IF(G$1&gt;$Z$4,"-",IF(COUNTIF($D$3:$D188,G$2)=$Z$3,"Full",SUMIFS($C$3:$C188,$D$3:$D188,G$2)))</f>
        <v>-</v>
      </c>
      <c r="H188" s="2" t="str">
        <f>IF(H$1&gt;$Z$4,"-",IF(COUNTIF($D$3:$D188,H$2)=$Z$3,"Full",SUMIFS($C$3:$C188,$D$3:$D188,H$2)))</f>
        <v>-</v>
      </c>
      <c r="I188" s="2" t="str">
        <f>IF(I$1&gt;$Z$4,"-",IF(COUNTIF($D$3:$D188,I$2)=$Z$3,"Full",SUMIFS($C$3:$C188,$D$3:$D188,I$2)))</f>
        <v>-</v>
      </c>
      <c r="J188" s="2" t="str">
        <f>IF(J$1&gt;$Z$4,"-",IF(COUNTIF($D$3:$D188,J$2)=$Z$3,"Full",SUMIFS($C$3:$C188,$D$3:$D188,J$2)))</f>
        <v>-</v>
      </c>
      <c r="K188" s="2" t="str">
        <f>IF(K$1&gt;$Z$4,"-",IF(COUNTIF($D$3:$D188,K$2)=$Z$3,"Full",SUMIFS($C$3:$C188,$D$3:$D188,K$2)))</f>
        <v>-</v>
      </c>
      <c r="L188" s="2" t="str">
        <f>IF(L$1&gt;$Z$4,"-",IF(COUNTIF($D$3:$D188,L$2)=$Z$3,"Full",SUMIFS($C$3:$C188,$D$3:$D188,L$2)))</f>
        <v>-</v>
      </c>
      <c r="M188" s="2" t="str">
        <f>IF(M$1&gt;$Z$4,"-",IF(COUNTIF($D$3:$D188,M$2)=$Z$3,"Full",SUMIFS($C$3:$C188,$D$3:$D188,M$2)))</f>
        <v>-</v>
      </c>
      <c r="N188" s="2" t="str">
        <f>IF(N$1&gt;$Z$4,"-",IF(COUNTIF($D$3:$D188,N$2)=$Z$3,"Full",SUMIFS($C$3:$C188,$D$3:$D188,N$2)))</f>
        <v>-</v>
      </c>
      <c r="O188" s="2" t="str">
        <f>IF(O$1&gt;$Z$4,"-",IF(COUNTIF($D$3:$D188,O$2)=$Z$3,"Full",SUMIFS($C$3:$C188,$D$3:$D188,O$2)))</f>
        <v>-</v>
      </c>
      <c r="P188" s="2" t="str">
        <f>IF(P$1&gt;$Z$4,"-",IF(COUNTIF($D$3:$D188,P$2)=$Z$3,"Full",SUMIFS($C$3:$C188,$D$3:$D188,P$2)))</f>
        <v>-</v>
      </c>
      <c r="Q188" s="2" t="str">
        <f>IF(Q$1&gt;$Z$4,"-",IF(COUNTIF($D$3:$D188,Q$2)=$Z$3,"Full",SUMIFS($C$3:$C188,$D$3:$D188,Q$2)))</f>
        <v>-</v>
      </c>
      <c r="R188" s="2" t="str">
        <f>IF(R$1&gt;$Z$4,"-",IF(COUNTIF($D$3:$D188,R$2)=$Z$3,"Full",SUMIFS($C$3:$C188,$D$3:$D188,R$2)))</f>
        <v>-</v>
      </c>
      <c r="S188" s="2" t="str">
        <f>IF(S$1&gt;$Z$4,"-",IF(COUNTIF($D$3:$D188,S$2)=$Z$3,"Full",SUMIFS($C$3:$C188,$D$3:$D188,S$2)))</f>
        <v>-</v>
      </c>
      <c r="T188" s="11" t="str">
        <f>IF(T$1&gt;$Z$4,"-",IF(COUNTIF($D$3:$D188,T$2)=$Z$3,"Full",SUMIFS($C$3:$C188,$D$3:$D188,T$2)))</f>
        <v>-</v>
      </c>
    </row>
    <row r="189" spans="1:20" x14ac:dyDescent="0.25">
      <c r="A189" s="10" t="str">
        <f t="shared" si="155"/>
        <v/>
      </c>
      <c r="D189" s="2" t="str" cm="1">
        <f t="array" aca="1" ref="D189" ca="1">IFERROR(_xlfn.XLOOKUP(MIN(E188:INDIRECT($AA$4&amp;A189+1)),E188:INDIRECT($AA$4&amp;A189+1),$E$2:INDIRECT($AA$4&amp;"$2")),"-")</f>
        <v>-</v>
      </c>
      <c r="E189" s="2" t="str">
        <f ca="1">IF(E$1&gt;$Z$4,"-",IF(COUNTIF($D$3:$D189,E$2)=$Z$3,"Full",SUMIFS($C$3:$C189,$D$3:$D189,E$2)))</f>
        <v>Full</v>
      </c>
      <c r="F189" s="2" t="str">
        <f>IF(F$1&gt;$Z$4,"-",IF(COUNTIF($D$3:$D189,F$2)=$Z$3,"Full",SUMIFS($C$3:$C189,$D$3:$D189,F$2)))</f>
        <v>-</v>
      </c>
      <c r="G189" s="2" t="str">
        <f>IF(G$1&gt;$Z$4,"-",IF(COUNTIF($D$3:$D189,G$2)=$Z$3,"Full",SUMIFS($C$3:$C189,$D$3:$D189,G$2)))</f>
        <v>-</v>
      </c>
      <c r="H189" s="2" t="str">
        <f>IF(H$1&gt;$Z$4,"-",IF(COUNTIF($D$3:$D189,H$2)=$Z$3,"Full",SUMIFS($C$3:$C189,$D$3:$D189,H$2)))</f>
        <v>-</v>
      </c>
      <c r="I189" s="2" t="str">
        <f>IF(I$1&gt;$Z$4,"-",IF(COUNTIF($D$3:$D189,I$2)=$Z$3,"Full",SUMIFS($C$3:$C189,$D$3:$D189,I$2)))</f>
        <v>-</v>
      </c>
      <c r="J189" s="2" t="str">
        <f>IF(J$1&gt;$Z$4,"-",IF(COUNTIF($D$3:$D189,J$2)=$Z$3,"Full",SUMIFS($C$3:$C189,$D$3:$D189,J$2)))</f>
        <v>-</v>
      </c>
      <c r="K189" s="2" t="str">
        <f>IF(K$1&gt;$Z$4,"-",IF(COUNTIF($D$3:$D189,K$2)=$Z$3,"Full",SUMIFS($C$3:$C189,$D$3:$D189,K$2)))</f>
        <v>-</v>
      </c>
      <c r="L189" s="2" t="str">
        <f>IF(L$1&gt;$Z$4,"-",IF(COUNTIF($D$3:$D189,L$2)=$Z$3,"Full",SUMIFS($C$3:$C189,$D$3:$D189,L$2)))</f>
        <v>-</v>
      </c>
      <c r="M189" s="2" t="str">
        <f>IF(M$1&gt;$Z$4,"-",IF(COUNTIF($D$3:$D189,M$2)=$Z$3,"Full",SUMIFS($C$3:$C189,$D$3:$D189,M$2)))</f>
        <v>-</v>
      </c>
      <c r="N189" s="2" t="str">
        <f>IF(N$1&gt;$Z$4,"-",IF(COUNTIF($D$3:$D189,N$2)=$Z$3,"Full",SUMIFS($C$3:$C189,$D$3:$D189,N$2)))</f>
        <v>-</v>
      </c>
      <c r="O189" s="2" t="str">
        <f>IF(O$1&gt;$Z$4,"-",IF(COUNTIF($D$3:$D189,O$2)=$Z$3,"Full",SUMIFS($C$3:$C189,$D$3:$D189,O$2)))</f>
        <v>-</v>
      </c>
      <c r="P189" s="2" t="str">
        <f>IF(P$1&gt;$Z$4,"-",IF(COUNTIF($D$3:$D189,P$2)=$Z$3,"Full",SUMIFS($C$3:$C189,$D$3:$D189,P$2)))</f>
        <v>-</v>
      </c>
      <c r="Q189" s="2" t="str">
        <f>IF(Q$1&gt;$Z$4,"-",IF(COUNTIF($D$3:$D189,Q$2)=$Z$3,"Full",SUMIFS($C$3:$C189,$D$3:$D189,Q$2)))</f>
        <v>-</v>
      </c>
      <c r="R189" s="2" t="str">
        <f>IF(R$1&gt;$Z$4,"-",IF(COUNTIF($D$3:$D189,R$2)=$Z$3,"Full",SUMIFS($C$3:$C189,$D$3:$D189,R$2)))</f>
        <v>-</v>
      </c>
      <c r="S189" s="2" t="str">
        <f>IF(S$1&gt;$Z$4,"-",IF(COUNTIF($D$3:$D189,S$2)=$Z$3,"Full",SUMIFS($C$3:$C189,$D$3:$D189,S$2)))</f>
        <v>-</v>
      </c>
      <c r="T189" s="11" t="str">
        <f>IF(T$1&gt;$Z$4,"-",IF(COUNTIF($D$3:$D189,T$2)=$Z$3,"Full",SUMIFS($C$3:$C189,$D$3:$D189,T$2)))</f>
        <v>-</v>
      </c>
    </row>
    <row r="190" spans="1:20" x14ac:dyDescent="0.25">
      <c r="A190" s="10" t="str">
        <f t="shared" si="155"/>
        <v/>
      </c>
      <c r="D190" s="2" t="str" cm="1">
        <f t="array" aca="1" ref="D190" ca="1">IFERROR(_xlfn.XLOOKUP(MIN(E189:INDIRECT($AA$4&amp;A190+1)),E189:INDIRECT($AA$4&amp;A190+1),$E$2:INDIRECT($AA$4&amp;"$2")),"-")</f>
        <v>-</v>
      </c>
      <c r="E190" s="2" t="str">
        <f ca="1">IF(E$1&gt;$Z$4,"-",IF(COUNTIF($D$3:$D190,E$2)=$Z$3,"Full",SUMIFS($C$3:$C190,$D$3:$D190,E$2)))</f>
        <v>Full</v>
      </c>
      <c r="F190" s="2" t="str">
        <f>IF(F$1&gt;$Z$4,"-",IF(COUNTIF($D$3:$D190,F$2)=$Z$3,"Full",SUMIFS($C$3:$C190,$D$3:$D190,F$2)))</f>
        <v>-</v>
      </c>
      <c r="G190" s="2" t="str">
        <f>IF(G$1&gt;$Z$4,"-",IF(COUNTIF($D$3:$D190,G$2)=$Z$3,"Full",SUMIFS($C$3:$C190,$D$3:$D190,G$2)))</f>
        <v>-</v>
      </c>
      <c r="H190" s="2" t="str">
        <f>IF(H$1&gt;$Z$4,"-",IF(COUNTIF($D$3:$D190,H$2)=$Z$3,"Full",SUMIFS($C$3:$C190,$D$3:$D190,H$2)))</f>
        <v>-</v>
      </c>
      <c r="I190" s="2" t="str">
        <f>IF(I$1&gt;$Z$4,"-",IF(COUNTIF($D$3:$D190,I$2)=$Z$3,"Full",SUMIFS($C$3:$C190,$D$3:$D190,I$2)))</f>
        <v>-</v>
      </c>
      <c r="J190" s="2" t="str">
        <f>IF(J$1&gt;$Z$4,"-",IF(COUNTIF($D$3:$D190,J$2)=$Z$3,"Full",SUMIFS($C$3:$C190,$D$3:$D190,J$2)))</f>
        <v>-</v>
      </c>
      <c r="K190" s="2" t="str">
        <f>IF(K$1&gt;$Z$4,"-",IF(COUNTIF($D$3:$D190,K$2)=$Z$3,"Full",SUMIFS($C$3:$C190,$D$3:$D190,K$2)))</f>
        <v>-</v>
      </c>
      <c r="L190" s="2" t="str">
        <f>IF(L$1&gt;$Z$4,"-",IF(COUNTIF($D$3:$D190,L$2)=$Z$3,"Full",SUMIFS($C$3:$C190,$D$3:$D190,L$2)))</f>
        <v>-</v>
      </c>
      <c r="M190" s="2" t="str">
        <f>IF(M$1&gt;$Z$4,"-",IF(COUNTIF($D$3:$D190,M$2)=$Z$3,"Full",SUMIFS($C$3:$C190,$D$3:$D190,M$2)))</f>
        <v>-</v>
      </c>
      <c r="N190" s="2" t="str">
        <f>IF(N$1&gt;$Z$4,"-",IF(COUNTIF($D$3:$D190,N$2)=$Z$3,"Full",SUMIFS($C$3:$C190,$D$3:$D190,N$2)))</f>
        <v>-</v>
      </c>
      <c r="O190" s="2" t="str">
        <f>IF(O$1&gt;$Z$4,"-",IF(COUNTIF($D$3:$D190,O$2)=$Z$3,"Full",SUMIFS($C$3:$C190,$D$3:$D190,O$2)))</f>
        <v>-</v>
      </c>
      <c r="P190" s="2" t="str">
        <f>IF(P$1&gt;$Z$4,"-",IF(COUNTIF($D$3:$D190,P$2)=$Z$3,"Full",SUMIFS($C$3:$C190,$D$3:$D190,P$2)))</f>
        <v>-</v>
      </c>
      <c r="Q190" s="2" t="str">
        <f>IF(Q$1&gt;$Z$4,"-",IF(COUNTIF($D$3:$D190,Q$2)=$Z$3,"Full",SUMIFS($C$3:$C190,$D$3:$D190,Q$2)))</f>
        <v>-</v>
      </c>
      <c r="R190" s="2" t="str">
        <f>IF(R$1&gt;$Z$4,"-",IF(COUNTIF($D$3:$D190,R$2)=$Z$3,"Full",SUMIFS($C$3:$C190,$D$3:$D190,R$2)))</f>
        <v>-</v>
      </c>
      <c r="S190" s="2" t="str">
        <f>IF(S$1&gt;$Z$4,"-",IF(COUNTIF($D$3:$D190,S$2)=$Z$3,"Full",SUMIFS($C$3:$C190,$D$3:$D190,S$2)))</f>
        <v>-</v>
      </c>
      <c r="T190" s="11" t="str">
        <f>IF(T$1&gt;$Z$4,"-",IF(COUNTIF($D$3:$D190,T$2)=$Z$3,"Full",SUMIFS($C$3:$C190,$D$3:$D190,T$2)))</f>
        <v>-</v>
      </c>
    </row>
    <row r="191" spans="1:20" x14ac:dyDescent="0.25">
      <c r="A191" s="10" t="str">
        <f t="shared" si="155"/>
        <v/>
      </c>
      <c r="D191" s="2" t="str" cm="1">
        <f t="array" aca="1" ref="D191" ca="1">IFERROR(_xlfn.XLOOKUP(MIN(E190:INDIRECT($AA$4&amp;A191+1)),E190:INDIRECT($AA$4&amp;A191+1),$E$2:INDIRECT($AA$4&amp;"$2")),"-")</f>
        <v>-</v>
      </c>
      <c r="E191" s="2" t="str">
        <f ca="1">IF(E$1&gt;$Z$4,"-",IF(COUNTIF($D$3:$D191,E$2)=$Z$3,"Full",SUMIFS($C$3:$C191,$D$3:$D191,E$2)))</f>
        <v>Full</v>
      </c>
      <c r="F191" s="2" t="str">
        <f>IF(F$1&gt;$Z$4,"-",IF(COUNTIF($D$3:$D191,F$2)=$Z$3,"Full",SUMIFS($C$3:$C191,$D$3:$D191,F$2)))</f>
        <v>-</v>
      </c>
      <c r="G191" s="2" t="str">
        <f>IF(G$1&gt;$Z$4,"-",IF(COUNTIF($D$3:$D191,G$2)=$Z$3,"Full",SUMIFS($C$3:$C191,$D$3:$D191,G$2)))</f>
        <v>-</v>
      </c>
      <c r="H191" s="2" t="str">
        <f>IF(H$1&gt;$Z$4,"-",IF(COUNTIF($D$3:$D191,H$2)=$Z$3,"Full",SUMIFS($C$3:$C191,$D$3:$D191,H$2)))</f>
        <v>-</v>
      </c>
      <c r="I191" s="2" t="str">
        <f>IF(I$1&gt;$Z$4,"-",IF(COUNTIF($D$3:$D191,I$2)=$Z$3,"Full",SUMIFS($C$3:$C191,$D$3:$D191,I$2)))</f>
        <v>-</v>
      </c>
      <c r="J191" s="2" t="str">
        <f>IF(J$1&gt;$Z$4,"-",IF(COUNTIF($D$3:$D191,J$2)=$Z$3,"Full",SUMIFS($C$3:$C191,$D$3:$D191,J$2)))</f>
        <v>-</v>
      </c>
      <c r="K191" s="2" t="str">
        <f>IF(K$1&gt;$Z$4,"-",IF(COUNTIF($D$3:$D191,K$2)=$Z$3,"Full",SUMIFS($C$3:$C191,$D$3:$D191,K$2)))</f>
        <v>-</v>
      </c>
      <c r="L191" s="2" t="str">
        <f>IF(L$1&gt;$Z$4,"-",IF(COUNTIF($D$3:$D191,L$2)=$Z$3,"Full",SUMIFS($C$3:$C191,$D$3:$D191,L$2)))</f>
        <v>-</v>
      </c>
      <c r="M191" s="2" t="str">
        <f>IF(M$1&gt;$Z$4,"-",IF(COUNTIF($D$3:$D191,M$2)=$Z$3,"Full",SUMIFS($C$3:$C191,$D$3:$D191,M$2)))</f>
        <v>-</v>
      </c>
      <c r="N191" s="2" t="str">
        <f>IF(N$1&gt;$Z$4,"-",IF(COUNTIF($D$3:$D191,N$2)=$Z$3,"Full",SUMIFS($C$3:$C191,$D$3:$D191,N$2)))</f>
        <v>-</v>
      </c>
      <c r="O191" s="2" t="str">
        <f>IF(O$1&gt;$Z$4,"-",IF(COUNTIF($D$3:$D191,O$2)=$Z$3,"Full",SUMIFS($C$3:$C191,$D$3:$D191,O$2)))</f>
        <v>-</v>
      </c>
      <c r="P191" s="2" t="str">
        <f>IF(P$1&gt;$Z$4,"-",IF(COUNTIF($D$3:$D191,P$2)=$Z$3,"Full",SUMIFS($C$3:$C191,$D$3:$D191,P$2)))</f>
        <v>-</v>
      </c>
      <c r="Q191" s="2" t="str">
        <f>IF(Q$1&gt;$Z$4,"-",IF(COUNTIF($D$3:$D191,Q$2)=$Z$3,"Full",SUMIFS($C$3:$C191,$D$3:$D191,Q$2)))</f>
        <v>-</v>
      </c>
      <c r="R191" s="2" t="str">
        <f>IF(R$1&gt;$Z$4,"-",IF(COUNTIF($D$3:$D191,R$2)=$Z$3,"Full",SUMIFS($C$3:$C191,$D$3:$D191,R$2)))</f>
        <v>-</v>
      </c>
      <c r="S191" s="2" t="str">
        <f>IF(S$1&gt;$Z$4,"-",IF(COUNTIF($D$3:$D191,S$2)=$Z$3,"Full",SUMIFS($C$3:$C191,$D$3:$D191,S$2)))</f>
        <v>-</v>
      </c>
      <c r="T191" s="11" t="str">
        <f>IF(T$1&gt;$Z$4,"-",IF(COUNTIF($D$3:$D191,T$2)=$Z$3,"Full",SUMIFS($C$3:$C191,$D$3:$D191,T$2)))</f>
        <v>-</v>
      </c>
    </row>
    <row r="192" spans="1:20" x14ac:dyDescent="0.25">
      <c r="A192" s="10" t="str">
        <f t="shared" si="155"/>
        <v/>
      </c>
      <c r="D192" s="2" t="str" cm="1">
        <f t="array" aca="1" ref="D192" ca="1">IFERROR(_xlfn.XLOOKUP(MIN(E191:INDIRECT($AA$4&amp;A192+1)),E191:INDIRECT($AA$4&amp;A192+1),$E$2:INDIRECT($AA$4&amp;"$2")),"-")</f>
        <v>-</v>
      </c>
      <c r="E192" s="2" t="str">
        <f ca="1">IF(E$1&gt;$Z$4,"-",IF(COUNTIF($D$3:$D192,E$2)=$Z$3,"Full",SUMIFS($C$3:$C192,$D$3:$D192,E$2)))</f>
        <v>Full</v>
      </c>
      <c r="F192" s="2" t="str">
        <f>IF(F$1&gt;$Z$4,"-",IF(COUNTIF($D$3:$D192,F$2)=$Z$3,"Full",SUMIFS($C$3:$C192,$D$3:$D192,F$2)))</f>
        <v>-</v>
      </c>
      <c r="G192" s="2" t="str">
        <f>IF(G$1&gt;$Z$4,"-",IF(COUNTIF($D$3:$D192,G$2)=$Z$3,"Full",SUMIFS($C$3:$C192,$D$3:$D192,G$2)))</f>
        <v>-</v>
      </c>
      <c r="H192" s="2" t="str">
        <f>IF(H$1&gt;$Z$4,"-",IF(COUNTIF($D$3:$D192,H$2)=$Z$3,"Full",SUMIFS($C$3:$C192,$D$3:$D192,H$2)))</f>
        <v>-</v>
      </c>
      <c r="I192" s="2" t="str">
        <f>IF(I$1&gt;$Z$4,"-",IF(COUNTIF($D$3:$D192,I$2)=$Z$3,"Full",SUMIFS($C$3:$C192,$D$3:$D192,I$2)))</f>
        <v>-</v>
      </c>
      <c r="J192" s="2" t="str">
        <f>IF(J$1&gt;$Z$4,"-",IF(COUNTIF($D$3:$D192,J$2)=$Z$3,"Full",SUMIFS($C$3:$C192,$D$3:$D192,J$2)))</f>
        <v>-</v>
      </c>
      <c r="K192" s="2" t="str">
        <f>IF(K$1&gt;$Z$4,"-",IF(COUNTIF($D$3:$D192,K$2)=$Z$3,"Full",SUMIFS($C$3:$C192,$D$3:$D192,K$2)))</f>
        <v>-</v>
      </c>
      <c r="L192" s="2" t="str">
        <f>IF(L$1&gt;$Z$4,"-",IF(COUNTIF($D$3:$D192,L$2)=$Z$3,"Full",SUMIFS($C$3:$C192,$D$3:$D192,L$2)))</f>
        <v>-</v>
      </c>
      <c r="M192" s="2" t="str">
        <f>IF(M$1&gt;$Z$4,"-",IF(COUNTIF($D$3:$D192,M$2)=$Z$3,"Full",SUMIFS($C$3:$C192,$D$3:$D192,M$2)))</f>
        <v>-</v>
      </c>
      <c r="N192" s="2" t="str">
        <f>IF(N$1&gt;$Z$4,"-",IF(COUNTIF($D$3:$D192,N$2)=$Z$3,"Full",SUMIFS($C$3:$C192,$D$3:$D192,N$2)))</f>
        <v>-</v>
      </c>
      <c r="O192" s="2" t="str">
        <f>IF(O$1&gt;$Z$4,"-",IF(COUNTIF($D$3:$D192,O$2)=$Z$3,"Full",SUMIFS($C$3:$C192,$D$3:$D192,O$2)))</f>
        <v>-</v>
      </c>
      <c r="P192" s="2" t="str">
        <f>IF(P$1&gt;$Z$4,"-",IF(COUNTIF($D$3:$D192,P$2)=$Z$3,"Full",SUMIFS($C$3:$C192,$D$3:$D192,P$2)))</f>
        <v>-</v>
      </c>
      <c r="Q192" s="2" t="str">
        <f>IF(Q$1&gt;$Z$4,"-",IF(COUNTIF($D$3:$D192,Q$2)=$Z$3,"Full",SUMIFS($C$3:$C192,$D$3:$D192,Q$2)))</f>
        <v>-</v>
      </c>
      <c r="R192" s="2" t="str">
        <f>IF(R$1&gt;$Z$4,"-",IF(COUNTIF($D$3:$D192,R$2)=$Z$3,"Full",SUMIFS($C$3:$C192,$D$3:$D192,R$2)))</f>
        <v>-</v>
      </c>
      <c r="S192" s="2" t="str">
        <f>IF(S$1&gt;$Z$4,"-",IF(COUNTIF($D$3:$D192,S$2)=$Z$3,"Full",SUMIFS($C$3:$C192,$D$3:$D192,S$2)))</f>
        <v>-</v>
      </c>
      <c r="T192" s="11" t="str">
        <f>IF(T$1&gt;$Z$4,"-",IF(COUNTIF($D$3:$D192,T$2)=$Z$3,"Full",SUMIFS($C$3:$C192,$D$3:$D192,T$2)))</f>
        <v>-</v>
      </c>
    </row>
    <row r="193" spans="1:20" x14ac:dyDescent="0.25">
      <c r="A193" s="10" t="str">
        <f t="shared" si="155"/>
        <v/>
      </c>
      <c r="D193" s="2" t="str" cm="1">
        <f t="array" aca="1" ref="D193" ca="1">IFERROR(_xlfn.XLOOKUP(MIN(E192:INDIRECT($AA$4&amp;A193+1)),E192:INDIRECT($AA$4&amp;A193+1),$E$2:INDIRECT($AA$4&amp;"$2")),"-")</f>
        <v>-</v>
      </c>
      <c r="E193" s="2" t="str">
        <f ca="1">IF(E$1&gt;$Z$4,"-",IF(COUNTIF($D$3:$D193,E$2)=$Z$3,"Full",SUMIFS($C$3:$C193,$D$3:$D193,E$2)))</f>
        <v>Full</v>
      </c>
      <c r="F193" s="2" t="str">
        <f>IF(F$1&gt;$Z$4,"-",IF(COUNTIF($D$3:$D193,F$2)=$Z$3,"Full",SUMIFS($C$3:$C193,$D$3:$D193,F$2)))</f>
        <v>-</v>
      </c>
      <c r="G193" s="2" t="str">
        <f>IF(G$1&gt;$Z$4,"-",IF(COUNTIF($D$3:$D193,G$2)=$Z$3,"Full",SUMIFS($C$3:$C193,$D$3:$D193,G$2)))</f>
        <v>-</v>
      </c>
      <c r="H193" s="2" t="str">
        <f>IF(H$1&gt;$Z$4,"-",IF(COUNTIF($D$3:$D193,H$2)=$Z$3,"Full",SUMIFS($C$3:$C193,$D$3:$D193,H$2)))</f>
        <v>-</v>
      </c>
      <c r="I193" s="2" t="str">
        <f>IF(I$1&gt;$Z$4,"-",IF(COUNTIF($D$3:$D193,I$2)=$Z$3,"Full",SUMIFS($C$3:$C193,$D$3:$D193,I$2)))</f>
        <v>-</v>
      </c>
      <c r="J193" s="2" t="str">
        <f>IF(J$1&gt;$Z$4,"-",IF(COUNTIF($D$3:$D193,J$2)=$Z$3,"Full",SUMIFS($C$3:$C193,$D$3:$D193,J$2)))</f>
        <v>-</v>
      </c>
      <c r="K193" s="2" t="str">
        <f>IF(K$1&gt;$Z$4,"-",IF(COUNTIF($D$3:$D193,K$2)=$Z$3,"Full",SUMIFS($C$3:$C193,$D$3:$D193,K$2)))</f>
        <v>-</v>
      </c>
      <c r="L193" s="2" t="str">
        <f>IF(L$1&gt;$Z$4,"-",IF(COUNTIF($D$3:$D193,L$2)=$Z$3,"Full",SUMIFS($C$3:$C193,$D$3:$D193,L$2)))</f>
        <v>-</v>
      </c>
      <c r="M193" s="2" t="str">
        <f>IF(M$1&gt;$Z$4,"-",IF(COUNTIF($D$3:$D193,M$2)=$Z$3,"Full",SUMIFS($C$3:$C193,$D$3:$D193,M$2)))</f>
        <v>-</v>
      </c>
      <c r="N193" s="2" t="str">
        <f>IF(N$1&gt;$Z$4,"-",IF(COUNTIF($D$3:$D193,N$2)=$Z$3,"Full",SUMIFS($C$3:$C193,$D$3:$D193,N$2)))</f>
        <v>-</v>
      </c>
      <c r="O193" s="2" t="str">
        <f>IF(O$1&gt;$Z$4,"-",IF(COUNTIF($D$3:$D193,O$2)=$Z$3,"Full",SUMIFS($C$3:$C193,$D$3:$D193,O$2)))</f>
        <v>-</v>
      </c>
      <c r="P193" s="2" t="str">
        <f>IF(P$1&gt;$Z$4,"-",IF(COUNTIF($D$3:$D193,P$2)=$Z$3,"Full",SUMIFS($C$3:$C193,$D$3:$D193,P$2)))</f>
        <v>-</v>
      </c>
      <c r="Q193" s="2" t="str">
        <f>IF(Q$1&gt;$Z$4,"-",IF(COUNTIF($D$3:$D193,Q$2)=$Z$3,"Full",SUMIFS($C$3:$C193,$D$3:$D193,Q$2)))</f>
        <v>-</v>
      </c>
      <c r="R193" s="2" t="str">
        <f>IF(R$1&gt;$Z$4,"-",IF(COUNTIF($D$3:$D193,R$2)=$Z$3,"Full",SUMIFS($C$3:$C193,$D$3:$D193,R$2)))</f>
        <v>-</v>
      </c>
      <c r="S193" s="2" t="str">
        <f>IF(S$1&gt;$Z$4,"-",IF(COUNTIF($D$3:$D193,S$2)=$Z$3,"Full",SUMIFS($C$3:$C193,$D$3:$D193,S$2)))</f>
        <v>-</v>
      </c>
      <c r="T193" s="11" t="str">
        <f>IF(T$1&gt;$Z$4,"-",IF(COUNTIF($D$3:$D193,T$2)=$Z$3,"Full",SUMIFS($C$3:$C193,$D$3:$D193,T$2)))</f>
        <v>-</v>
      </c>
    </row>
    <row r="194" spans="1:20" x14ac:dyDescent="0.25">
      <c r="A194" s="10" t="str">
        <f t="shared" si="155"/>
        <v/>
      </c>
      <c r="D194" s="2" t="str" cm="1">
        <f t="array" aca="1" ref="D194" ca="1">IFERROR(_xlfn.XLOOKUP(MIN(E193:INDIRECT($AA$4&amp;A194+1)),E193:INDIRECT($AA$4&amp;A194+1),$E$2:INDIRECT($AA$4&amp;"$2")),"-")</f>
        <v>-</v>
      </c>
      <c r="E194" s="2" t="str">
        <f ca="1">IF(E$1&gt;$Z$4,"-",IF(COUNTIF($D$3:$D194,E$2)=$Z$3,"Full",SUMIFS($C$3:$C194,$D$3:$D194,E$2)))</f>
        <v>Full</v>
      </c>
      <c r="F194" s="2" t="str">
        <f>IF(F$1&gt;$Z$4,"-",IF(COUNTIF($D$3:$D194,F$2)=$Z$3,"Full",SUMIFS($C$3:$C194,$D$3:$D194,F$2)))</f>
        <v>-</v>
      </c>
      <c r="G194" s="2" t="str">
        <f>IF(G$1&gt;$Z$4,"-",IF(COUNTIF($D$3:$D194,G$2)=$Z$3,"Full",SUMIFS($C$3:$C194,$D$3:$D194,G$2)))</f>
        <v>-</v>
      </c>
      <c r="H194" s="2" t="str">
        <f>IF(H$1&gt;$Z$4,"-",IF(COUNTIF($D$3:$D194,H$2)=$Z$3,"Full",SUMIFS($C$3:$C194,$D$3:$D194,H$2)))</f>
        <v>-</v>
      </c>
      <c r="I194" s="2" t="str">
        <f>IF(I$1&gt;$Z$4,"-",IF(COUNTIF($D$3:$D194,I$2)=$Z$3,"Full",SUMIFS($C$3:$C194,$D$3:$D194,I$2)))</f>
        <v>-</v>
      </c>
      <c r="J194" s="2" t="str">
        <f>IF(J$1&gt;$Z$4,"-",IF(COUNTIF($D$3:$D194,J$2)=$Z$3,"Full",SUMIFS($C$3:$C194,$D$3:$D194,J$2)))</f>
        <v>-</v>
      </c>
      <c r="K194" s="2" t="str">
        <f>IF(K$1&gt;$Z$4,"-",IF(COUNTIF($D$3:$D194,K$2)=$Z$3,"Full",SUMIFS($C$3:$C194,$D$3:$D194,K$2)))</f>
        <v>-</v>
      </c>
      <c r="L194" s="2" t="str">
        <f>IF(L$1&gt;$Z$4,"-",IF(COUNTIF($D$3:$D194,L$2)=$Z$3,"Full",SUMIFS($C$3:$C194,$D$3:$D194,L$2)))</f>
        <v>-</v>
      </c>
      <c r="M194" s="2" t="str">
        <f>IF(M$1&gt;$Z$4,"-",IF(COUNTIF($D$3:$D194,M$2)=$Z$3,"Full",SUMIFS($C$3:$C194,$D$3:$D194,M$2)))</f>
        <v>-</v>
      </c>
      <c r="N194" s="2" t="str">
        <f>IF(N$1&gt;$Z$4,"-",IF(COUNTIF($D$3:$D194,N$2)=$Z$3,"Full",SUMIFS($C$3:$C194,$D$3:$D194,N$2)))</f>
        <v>-</v>
      </c>
      <c r="O194" s="2" t="str">
        <f>IF(O$1&gt;$Z$4,"-",IF(COUNTIF($D$3:$D194,O$2)=$Z$3,"Full",SUMIFS($C$3:$C194,$D$3:$D194,O$2)))</f>
        <v>-</v>
      </c>
      <c r="P194" s="2" t="str">
        <f>IF(P$1&gt;$Z$4,"-",IF(COUNTIF($D$3:$D194,P$2)=$Z$3,"Full",SUMIFS($C$3:$C194,$D$3:$D194,P$2)))</f>
        <v>-</v>
      </c>
      <c r="Q194" s="2" t="str">
        <f>IF(Q$1&gt;$Z$4,"-",IF(COUNTIF($D$3:$D194,Q$2)=$Z$3,"Full",SUMIFS($C$3:$C194,$D$3:$D194,Q$2)))</f>
        <v>-</v>
      </c>
      <c r="R194" s="2" t="str">
        <f>IF(R$1&gt;$Z$4,"-",IF(COUNTIF($D$3:$D194,R$2)=$Z$3,"Full",SUMIFS($C$3:$C194,$D$3:$D194,R$2)))</f>
        <v>-</v>
      </c>
      <c r="S194" s="2" t="str">
        <f>IF(S$1&gt;$Z$4,"-",IF(COUNTIF($D$3:$D194,S$2)=$Z$3,"Full",SUMIFS($C$3:$C194,$D$3:$D194,S$2)))</f>
        <v>-</v>
      </c>
      <c r="T194" s="11" t="str">
        <f>IF(T$1&gt;$Z$4,"-",IF(COUNTIF($D$3:$D194,T$2)=$Z$3,"Full",SUMIFS($C$3:$C194,$D$3:$D194,T$2)))</f>
        <v>-</v>
      </c>
    </row>
    <row r="195" spans="1:20" x14ac:dyDescent="0.25">
      <c r="A195" s="10" t="str">
        <f t="shared" si="155"/>
        <v/>
      </c>
      <c r="D195" s="2" t="str" cm="1">
        <f t="array" aca="1" ref="D195" ca="1">IFERROR(_xlfn.XLOOKUP(MIN(E194:INDIRECT($AA$4&amp;A195+1)),E194:INDIRECT($AA$4&amp;A195+1),$E$2:INDIRECT($AA$4&amp;"$2")),"-")</f>
        <v>-</v>
      </c>
      <c r="E195" s="2" t="str">
        <f ca="1">IF(E$1&gt;$Z$4,"-",IF(COUNTIF($D$3:$D195,E$2)=$Z$3,"Full",SUMIFS($C$3:$C195,$D$3:$D195,E$2)))</f>
        <v>Full</v>
      </c>
      <c r="F195" s="2" t="str">
        <f>IF(F$1&gt;$Z$4,"-",IF(COUNTIF($D$3:$D195,F$2)=$Z$3,"Full",SUMIFS($C$3:$C195,$D$3:$D195,F$2)))</f>
        <v>-</v>
      </c>
      <c r="G195" s="2" t="str">
        <f>IF(G$1&gt;$Z$4,"-",IF(COUNTIF($D$3:$D195,G$2)=$Z$3,"Full",SUMIFS($C$3:$C195,$D$3:$D195,G$2)))</f>
        <v>-</v>
      </c>
      <c r="H195" s="2" t="str">
        <f>IF(H$1&gt;$Z$4,"-",IF(COUNTIF($D$3:$D195,H$2)=$Z$3,"Full",SUMIFS($C$3:$C195,$D$3:$D195,H$2)))</f>
        <v>-</v>
      </c>
      <c r="I195" s="2" t="str">
        <f>IF(I$1&gt;$Z$4,"-",IF(COUNTIF($D$3:$D195,I$2)=$Z$3,"Full",SUMIFS($C$3:$C195,$D$3:$D195,I$2)))</f>
        <v>-</v>
      </c>
      <c r="J195" s="2" t="str">
        <f>IF(J$1&gt;$Z$4,"-",IF(COUNTIF($D$3:$D195,J$2)=$Z$3,"Full",SUMIFS($C$3:$C195,$D$3:$D195,J$2)))</f>
        <v>-</v>
      </c>
      <c r="K195" s="2" t="str">
        <f>IF(K$1&gt;$Z$4,"-",IF(COUNTIF($D$3:$D195,K$2)=$Z$3,"Full",SUMIFS($C$3:$C195,$D$3:$D195,K$2)))</f>
        <v>-</v>
      </c>
      <c r="L195" s="2" t="str">
        <f>IF(L$1&gt;$Z$4,"-",IF(COUNTIF($D$3:$D195,L$2)=$Z$3,"Full",SUMIFS($C$3:$C195,$D$3:$D195,L$2)))</f>
        <v>-</v>
      </c>
      <c r="M195" s="2" t="str">
        <f>IF(M$1&gt;$Z$4,"-",IF(COUNTIF($D$3:$D195,M$2)=$Z$3,"Full",SUMIFS($C$3:$C195,$D$3:$D195,M$2)))</f>
        <v>-</v>
      </c>
      <c r="N195" s="2" t="str">
        <f>IF(N$1&gt;$Z$4,"-",IF(COUNTIF($D$3:$D195,N$2)=$Z$3,"Full",SUMIFS($C$3:$C195,$D$3:$D195,N$2)))</f>
        <v>-</v>
      </c>
      <c r="O195" s="2" t="str">
        <f>IF(O$1&gt;$Z$4,"-",IF(COUNTIF($D$3:$D195,O$2)=$Z$3,"Full",SUMIFS($C$3:$C195,$D$3:$D195,O$2)))</f>
        <v>-</v>
      </c>
      <c r="P195" s="2" t="str">
        <f>IF(P$1&gt;$Z$4,"-",IF(COUNTIF($D$3:$D195,P$2)=$Z$3,"Full",SUMIFS($C$3:$C195,$D$3:$D195,P$2)))</f>
        <v>-</v>
      </c>
      <c r="Q195" s="2" t="str">
        <f>IF(Q$1&gt;$Z$4,"-",IF(COUNTIF($D$3:$D195,Q$2)=$Z$3,"Full",SUMIFS($C$3:$C195,$D$3:$D195,Q$2)))</f>
        <v>-</v>
      </c>
      <c r="R195" s="2" t="str">
        <f>IF(R$1&gt;$Z$4,"-",IF(COUNTIF($D$3:$D195,R$2)=$Z$3,"Full",SUMIFS($C$3:$C195,$D$3:$D195,R$2)))</f>
        <v>-</v>
      </c>
      <c r="S195" s="2" t="str">
        <f>IF(S$1&gt;$Z$4,"-",IF(COUNTIF($D$3:$D195,S$2)=$Z$3,"Full",SUMIFS($C$3:$C195,$D$3:$D195,S$2)))</f>
        <v>-</v>
      </c>
      <c r="T195" s="11" t="str">
        <f>IF(T$1&gt;$Z$4,"-",IF(COUNTIF($D$3:$D195,T$2)=$Z$3,"Full",SUMIFS($C$3:$C195,$D$3:$D195,T$2)))</f>
        <v>-</v>
      </c>
    </row>
    <row r="196" spans="1:20" x14ac:dyDescent="0.25">
      <c r="A196" s="10" t="str">
        <f t="shared" si="155"/>
        <v/>
      </c>
      <c r="D196" s="2" t="str" cm="1">
        <f t="array" aca="1" ref="D196" ca="1">IFERROR(_xlfn.XLOOKUP(MIN(E195:INDIRECT($AA$4&amp;A196+1)),E195:INDIRECT($AA$4&amp;A196+1),$E$2:INDIRECT($AA$4&amp;"$2")),"-")</f>
        <v>-</v>
      </c>
      <c r="E196" s="2" t="str">
        <f ca="1">IF(E$1&gt;$Z$4,"-",IF(COUNTIF($D$3:$D196,E$2)=$Z$3,"Full",SUMIFS($C$3:$C196,$D$3:$D196,E$2)))</f>
        <v>Full</v>
      </c>
      <c r="F196" s="2" t="str">
        <f>IF(F$1&gt;$Z$4,"-",IF(COUNTIF($D$3:$D196,F$2)=$Z$3,"Full",SUMIFS($C$3:$C196,$D$3:$D196,F$2)))</f>
        <v>-</v>
      </c>
      <c r="G196" s="2" t="str">
        <f>IF(G$1&gt;$Z$4,"-",IF(COUNTIF($D$3:$D196,G$2)=$Z$3,"Full",SUMIFS($C$3:$C196,$D$3:$D196,G$2)))</f>
        <v>-</v>
      </c>
      <c r="H196" s="2" t="str">
        <f>IF(H$1&gt;$Z$4,"-",IF(COUNTIF($D$3:$D196,H$2)=$Z$3,"Full",SUMIFS($C$3:$C196,$D$3:$D196,H$2)))</f>
        <v>-</v>
      </c>
      <c r="I196" s="2" t="str">
        <f>IF(I$1&gt;$Z$4,"-",IF(COUNTIF($D$3:$D196,I$2)=$Z$3,"Full",SUMIFS($C$3:$C196,$D$3:$D196,I$2)))</f>
        <v>-</v>
      </c>
      <c r="J196" s="2" t="str">
        <f>IF(J$1&gt;$Z$4,"-",IF(COUNTIF($D$3:$D196,J$2)=$Z$3,"Full",SUMIFS($C$3:$C196,$D$3:$D196,J$2)))</f>
        <v>-</v>
      </c>
      <c r="K196" s="2" t="str">
        <f>IF(K$1&gt;$Z$4,"-",IF(COUNTIF($D$3:$D196,K$2)=$Z$3,"Full",SUMIFS($C$3:$C196,$D$3:$D196,K$2)))</f>
        <v>-</v>
      </c>
      <c r="L196" s="2" t="str">
        <f>IF(L$1&gt;$Z$4,"-",IF(COUNTIF($D$3:$D196,L$2)=$Z$3,"Full",SUMIFS($C$3:$C196,$D$3:$D196,L$2)))</f>
        <v>-</v>
      </c>
      <c r="M196" s="2" t="str">
        <f>IF(M$1&gt;$Z$4,"-",IF(COUNTIF($D$3:$D196,M$2)=$Z$3,"Full",SUMIFS($C$3:$C196,$D$3:$D196,M$2)))</f>
        <v>-</v>
      </c>
      <c r="N196" s="2" t="str">
        <f>IF(N$1&gt;$Z$4,"-",IF(COUNTIF($D$3:$D196,N$2)=$Z$3,"Full",SUMIFS($C$3:$C196,$D$3:$D196,N$2)))</f>
        <v>-</v>
      </c>
      <c r="O196" s="2" t="str">
        <f>IF(O$1&gt;$Z$4,"-",IF(COUNTIF($D$3:$D196,O$2)=$Z$3,"Full",SUMIFS($C$3:$C196,$D$3:$D196,O$2)))</f>
        <v>-</v>
      </c>
      <c r="P196" s="2" t="str">
        <f>IF(P$1&gt;$Z$4,"-",IF(COUNTIF($D$3:$D196,P$2)=$Z$3,"Full",SUMIFS($C$3:$C196,$D$3:$D196,P$2)))</f>
        <v>-</v>
      </c>
      <c r="Q196" s="2" t="str">
        <f>IF(Q$1&gt;$Z$4,"-",IF(COUNTIF($D$3:$D196,Q$2)=$Z$3,"Full",SUMIFS($C$3:$C196,$D$3:$D196,Q$2)))</f>
        <v>-</v>
      </c>
      <c r="R196" s="2" t="str">
        <f>IF(R$1&gt;$Z$4,"-",IF(COUNTIF($D$3:$D196,R$2)=$Z$3,"Full",SUMIFS($C$3:$C196,$D$3:$D196,R$2)))</f>
        <v>-</v>
      </c>
      <c r="S196" s="2" t="str">
        <f>IF(S$1&gt;$Z$4,"-",IF(COUNTIF($D$3:$D196,S$2)=$Z$3,"Full",SUMIFS($C$3:$C196,$D$3:$D196,S$2)))</f>
        <v>-</v>
      </c>
      <c r="T196" s="11" t="str">
        <f>IF(T$1&gt;$Z$4,"-",IF(COUNTIF($D$3:$D196,T$2)=$Z$3,"Full",SUMIFS($C$3:$C196,$D$3:$D196,T$2)))</f>
        <v>-</v>
      </c>
    </row>
    <row r="197" spans="1:20" x14ac:dyDescent="0.25">
      <c r="A197" s="10" t="str">
        <f t="shared" ref="A197:A260" si="156">IF(B197="","",A196+1)</f>
        <v/>
      </c>
      <c r="D197" s="2" t="str" cm="1">
        <f t="array" aca="1" ref="D197" ca="1">IFERROR(_xlfn.XLOOKUP(MIN(E196:INDIRECT($AA$4&amp;A197+1)),E196:INDIRECT($AA$4&amp;A197+1),$E$2:INDIRECT($AA$4&amp;"$2")),"-")</f>
        <v>-</v>
      </c>
      <c r="E197" s="2" t="str">
        <f ca="1">IF(E$1&gt;$Z$4,"-",IF(COUNTIF($D$3:$D197,E$2)=$Z$3,"Full",SUMIFS($C$3:$C197,$D$3:$D197,E$2)))</f>
        <v>Full</v>
      </c>
      <c r="F197" s="2" t="str">
        <f>IF(F$1&gt;$Z$4,"-",IF(COUNTIF($D$3:$D197,F$2)=$Z$3,"Full",SUMIFS($C$3:$C197,$D$3:$D197,F$2)))</f>
        <v>-</v>
      </c>
      <c r="G197" s="2" t="str">
        <f>IF(G$1&gt;$Z$4,"-",IF(COUNTIF($D$3:$D197,G$2)=$Z$3,"Full",SUMIFS($C$3:$C197,$D$3:$D197,G$2)))</f>
        <v>-</v>
      </c>
      <c r="H197" s="2" t="str">
        <f>IF(H$1&gt;$Z$4,"-",IF(COUNTIF($D$3:$D197,H$2)=$Z$3,"Full",SUMIFS($C$3:$C197,$D$3:$D197,H$2)))</f>
        <v>-</v>
      </c>
      <c r="I197" s="2" t="str">
        <f>IF(I$1&gt;$Z$4,"-",IF(COUNTIF($D$3:$D197,I$2)=$Z$3,"Full",SUMIFS($C$3:$C197,$D$3:$D197,I$2)))</f>
        <v>-</v>
      </c>
      <c r="J197" s="2" t="str">
        <f>IF(J$1&gt;$Z$4,"-",IF(COUNTIF($D$3:$D197,J$2)=$Z$3,"Full",SUMIFS($C$3:$C197,$D$3:$D197,J$2)))</f>
        <v>-</v>
      </c>
      <c r="K197" s="2" t="str">
        <f>IF(K$1&gt;$Z$4,"-",IF(COUNTIF($D$3:$D197,K$2)=$Z$3,"Full",SUMIFS($C$3:$C197,$D$3:$D197,K$2)))</f>
        <v>-</v>
      </c>
      <c r="L197" s="2" t="str">
        <f>IF(L$1&gt;$Z$4,"-",IF(COUNTIF($D$3:$D197,L$2)=$Z$3,"Full",SUMIFS($C$3:$C197,$D$3:$D197,L$2)))</f>
        <v>-</v>
      </c>
      <c r="M197" s="2" t="str">
        <f>IF(M$1&gt;$Z$4,"-",IF(COUNTIF($D$3:$D197,M$2)=$Z$3,"Full",SUMIFS($C$3:$C197,$D$3:$D197,M$2)))</f>
        <v>-</v>
      </c>
      <c r="N197" s="2" t="str">
        <f>IF(N$1&gt;$Z$4,"-",IF(COUNTIF($D$3:$D197,N$2)=$Z$3,"Full",SUMIFS($C$3:$C197,$D$3:$D197,N$2)))</f>
        <v>-</v>
      </c>
      <c r="O197" s="2" t="str">
        <f>IF(O$1&gt;$Z$4,"-",IF(COUNTIF($D$3:$D197,O$2)=$Z$3,"Full",SUMIFS($C$3:$C197,$D$3:$D197,O$2)))</f>
        <v>-</v>
      </c>
      <c r="P197" s="2" t="str">
        <f>IF(P$1&gt;$Z$4,"-",IF(COUNTIF($D$3:$D197,P$2)=$Z$3,"Full",SUMIFS($C$3:$C197,$D$3:$D197,P$2)))</f>
        <v>-</v>
      </c>
      <c r="Q197" s="2" t="str">
        <f>IF(Q$1&gt;$Z$4,"-",IF(COUNTIF($D$3:$D197,Q$2)=$Z$3,"Full",SUMIFS($C$3:$C197,$D$3:$D197,Q$2)))</f>
        <v>-</v>
      </c>
      <c r="R197" s="2" t="str">
        <f>IF(R$1&gt;$Z$4,"-",IF(COUNTIF($D$3:$D197,R$2)=$Z$3,"Full",SUMIFS($C$3:$C197,$D$3:$D197,R$2)))</f>
        <v>-</v>
      </c>
      <c r="S197" s="2" t="str">
        <f>IF(S$1&gt;$Z$4,"-",IF(COUNTIF($D$3:$D197,S$2)=$Z$3,"Full",SUMIFS($C$3:$C197,$D$3:$D197,S$2)))</f>
        <v>-</v>
      </c>
      <c r="T197" s="11" t="str">
        <f>IF(T$1&gt;$Z$4,"-",IF(COUNTIF($D$3:$D197,T$2)=$Z$3,"Full",SUMIFS($C$3:$C197,$D$3:$D197,T$2)))</f>
        <v>-</v>
      </c>
    </row>
    <row r="198" spans="1:20" x14ac:dyDescent="0.25">
      <c r="A198" s="10" t="str">
        <f t="shared" si="156"/>
        <v/>
      </c>
      <c r="D198" s="2" t="str" cm="1">
        <f t="array" aca="1" ref="D198" ca="1">IFERROR(_xlfn.XLOOKUP(MIN(E197:INDIRECT($AA$4&amp;A198+1)),E197:INDIRECT($AA$4&amp;A198+1),$E$2:INDIRECT($AA$4&amp;"$2")),"-")</f>
        <v>-</v>
      </c>
      <c r="E198" s="2" t="str">
        <f ca="1">IF(E$1&gt;$Z$4,"-",IF(COUNTIF($D$3:$D198,E$2)=$Z$3,"Full",SUMIFS($C$3:$C198,$D$3:$D198,E$2)))</f>
        <v>Full</v>
      </c>
      <c r="F198" s="2" t="str">
        <f>IF(F$1&gt;$Z$4,"-",IF(COUNTIF($D$3:$D198,F$2)=$Z$3,"Full",SUMIFS($C$3:$C198,$D$3:$D198,F$2)))</f>
        <v>-</v>
      </c>
      <c r="G198" s="2" t="str">
        <f>IF(G$1&gt;$Z$4,"-",IF(COUNTIF($D$3:$D198,G$2)=$Z$3,"Full",SUMIFS($C$3:$C198,$D$3:$D198,G$2)))</f>
        <v>-</v>
      </c>
      <c r="H198" s="2" t="str">
        <f>IF(H$1&gt;$Z$4,"-",IF(COUNTIF($D$3:$D198,H$2)=$Z$3,"Full",SUMIFS($C$3:$C198,$D$3:$D198,H$2)))</f>
        <v>-</v>
      </c>
      <c r="I198" s="2" t="str">
        <f>IF(I$1&gt;$Z$4,"-",IF(COUNTIF($D$3:$D198,I$2)=$Z$3,"Full",SUMIFS($C$3:$C198,$D$3:$D198,I$2)))</f>
        <v>-</v>
      </c>
      <c r="J198" s="2" t="str">
        <f>IF(J$1&gt;$Z$4,"-",IF(COUNTIF($D$3:$D198,J$2)=$Z$3,"Full",SUMIFS($C$3:$C198,$D$3:$D198,J$2)))</f>
        <v>-</v>
      </c>
      <c r="K198" s="2" t="str">
        <f>IF(K$1&gt;$Z$4,"-",IF(COUNTIF($D$3:$D198,K$2)=$Z$3,"Full",SUMIFS($C$3:$C198,$D$3:$D198,K$2)))</f>
        <v>-</v>
      </c>
      <c r="L198" s="2" t="str">
        <f>IF(L$1&gt;$Z$4,"-",IF(COUNTIF($D$3:$D198,L$2)=$Z$3,"Full",SUMIFS($C$3:$C198,$D$3:$D198,L$2)))</f>
        <v>-</v>
      </c>
      <c r="M198" s="2" t="str">
        <f>IF(M$1&gt;$Z$4,"-",IF(COUNTIF($D$3:$D198,M$2)=$Z$3,"Full",SUMIFS($C$3:$C198,$D$3:$D198,M$2)))</f>
        <v>-</v>
      </c>
      <c r="N198" s="2" t="str">
        <f>IF(N$1&gt;$Z$4,"-",IF(COUNTIF($D$3:$D198,N$2)=$Z$3,"Full",SUMIFS($C$3:$C198,$D$3:$D198,N$2)))</f>
        <v>-</v>
      </c>
      <c r="O198" s="2" t="str">
        <f>IF(O$1&gt;$Z$4,"-",IF(COUNTIF($D$3:$D198,O$2)=$Z$3,"Full",SUMIFS($C$3:$C198,$D$3:$D198,O$2)))</f>
        <v>-</v>
      </c>
      <c r="P198" s="2" t="str">
        <f>IF(P$1&gt;$Z$4,"-",IF(COUNTIF($D$3:$D198,P$2)=$Z$3,"Full",SUMIFS($C$3:$C198,$D$3:$D198,P$2)))</f>
        <v>-</v>
      </c>
      <c r="Q198" s="2" t="str">
        <f>IF(Q$1&gt;$Z$4,"-",IF(COUNTIF($D$3:$D198,Q$2)=$Z$3,"Full",SUMIFS($C$3:$C198,$D$3:$D198,Q$2)))</f>
        <v>-</v>
      </c>
      <c r="R198" s="2" t="str">
        <f>IF(R$1&gt;$Z$4,"-",IF(COUNTIF($D$3:$D198,R$2)=$Z$3,"Full",SUMIFS($C$3:$C198,$D$3:$D198,R$2)))</f>
        <v>-</v>
      </c>
      <c r="S198" s="2" t="str">
        <f>IF(S$1&gt;$Z$4,"-",IF(COUNTIF($D$3:$D198,S$2)=$Z$3,"Full",SUMIFS($C$3:$C198,$D$3:$D198,S$2)))</f>
        <v>-</v>
      </c>
      <c r="T198" s="11" t="str">
        <f>IF(T$1&gt;$Z$4,"-",IF(COUNTIF($D$3:$D198,T$2)=$Z$3,"Full",SUMIFS($C$3:$C198,$D$3:$D198,T$2)))</f>
        <v>-</v>
      </c>
    </row>
    <row r="199" spans="1:20" x14ac:dyDescent="0.25">
      <c r="A199" s="10" t="str">
        <f t="shared" si="156"/>
        <v/>
      </c>
      <c r="D199" s="2" t="str" cm="1">
        <f t="array" aca="1" ref="D199" ca="1">IFERROR(_xlfn.XLOOKUP(MIN(E198:INDIRECT($AA$4&amp;A199+1)),E198:INDIRECT($AA$4&amp;A199+1),$E$2:INDIRECT($AA$4&amp;"$2")),"-")</f>
        <v>-</v>
      </c>
      <c r="E199" s="2" t="str">
        <f ca="1">IF(E$1&gt;$Z$4,"-",IF(COUNTIF($D$3:$D199,E$2)=$Z$3,"Full",SUMIFS($C$3:$C199,$D$3:$D199,E$2)))</f>
        <v>Full</v>
      </c>
      <c r="F199" s="2" t="str">
        <f>IF(F$1&gt;$Z$4,"-",IF(COUNTIF($D$3:$D199,F$2)=$Z$3,"Full",SUMIFS($C$3:$C199,$D$3:$D199,F$2)))</f>
        <v>-</v>
      </c>
      <c r="G199" s="2" t="str">
        <f>IF(G$1&gt;$Z$4,"-",IF(COUNTIF($D$3:$D199,G$2)=$Z$3,"Full",SUMIFS($C$3:$C199,$D$3:$D199,G$2)))</f>
        <v>-</v>
      </c>
      <c r="H199" s="2" t="str">
        <f>IF(H$1&gt;$Z$4,"-",IF(COUNTIF($D$3:$D199,H$2)=$Z$3,"Full",SUMIFS($C$3:$C199,$D$3:$D199,H$2)))</f>
        <v>-</v>
      </c>
      <c r="I199" s="2" t="str">
        <f>IF(I$1&gt;$Z$4,"-",IF(COUNTIF($D$3:$D199,I$2)=$Z$3,"Full",SUMIFS($C$3:$C199,$D$3:$D199,I$2)))</f>
        <v>-</v>
      </c>
      <c r="J199" s="2" t="str">
        <f>IF(J$1&gt;$Z$4,"-",IF(COUNTIF($D$3:$D199,J$2)=$Z$3,"Full",SUMIFS($C$3:$C199,$D$3:$D199,J$2)))</f>
        <v>-</v>
      </c>
      <c r="K199" s="2" t="str">
        <f>IF(K$1&gt;$Z$4,"-",IF(COUNTIF($D$3:$D199,K$2)=$Z$3,"Full",SUMIFS($C$3:$C199,$D$3:$D199,K$2)))</f>
        <v>-</v>
      </c>
      <c r="L199" s="2" t="str">
        <f>IF(L$1&gt;$Z$4,"-",IF(COUNTIF($D$3:$D199,L$2)=$Z$3,"Full",SUMIFS($C$3:$C199,$D$3:$D199,L$2)))</f>
        <v>-</v>
      </c>
      <c r="M199" s="2" t="str">
        <f>IF(M$1&gt;$Z$4,"-",IF(COUNTIF($D$3:$D199,M$2)=$Z$3,"Full",SUMIFS($C$3:$C199,$D$3:$D199,M$2)))</f>
        <v>-</v>
      </c>
      <c r="N199" s="2" t="str">
        <f>IF(N$1&gt;$Z$4,"-",IF(COUNTIF($D$3:$D199,N$2)=$Z$3,"Full",SUMIFS($C$3:$C199,$D$3:$D199,N$2)))</f>
        <v>-</v>
      </c>
      <c r="O199" s="2" t="str">
        <f>IF(O$1&gt;$Z$4,"-",IF(COUNTIF($D$3:$D199,O$2)=$Z$3,"Full",SUMIFS($C$3:$C199,$D$3:$D199,O$2)))</f>
        <v>-</v>
      </c>
      <c r="P199" s="2" t="str">
        <f>IF(P$1&gt;$Z$4,"-",IF(COUNTIF($D$3:$D199,P$2)=$Z$3,"Full",SUMIFS($C$3:$C199,$D$3:$D199,P$2)))</f>
        <v>-</v>
      </c>
      <c r="Q199" s="2" t="str">
        <f>IF(Q$1&gt;$Z$4,"-",IF(COUNTIF($D$3:$D199,Q$2)=$Z$3,"Full",SUMIFS($C$3:$C199,$D$3:$D199,Q$2)))</f>
        <v>-</v>
      </c>
      <c r="R199" s="2" t="str">
        <f>IF(R$1&gt;$Z$4,"-",IF(COUNTIF($D$3:$D199,R$2)=$Z$3,"Full",SUMIFS($C$3:$C199,$D$3:$D199,R$2)))</f>
        <v>-</v>
      </c>
      <c r="S199" s="2" t="str">
        <f>IF(S$1&gt;$Z$4,"-",IF(COUNTIF($D$3:$D199,S$2)=$Z$3,"Full",SUMIFS($C$3:$C199,$D$3:$D199,S$2)))</f>
        <v>-</v>
      </c>
      <c r="T199" s="11" t="str">
        <f>IF(T$1&gt;$Z$4,"-",IF(COUNTIF($D$3:$D199,T$2)=$Z$3,"Full",SUMIFS($C$3:$C199,$D$3:$D199,T$2)))</f>
        <v>-</v>
      </c>
    </row>
    <row r="200" spans="1:20" x14ac:dyDescent="0.25">
      <c r="A200" s="10" t="str">
        <f t="shared" si="156"/>
        <v/>
      </c>
      <c r="D200" s="2" t="str" cm="1">
        <f t="array" aca="1" ref="D200" ca="1">IFERROR(_xlfn.XLOOKUP(MIN(E199:INDIRECT($AA$4&amp;A200+1)),E199:INDIRECT($AA$4&amp;A200+1),$E$2:INDIRECT($AA$4&amp;"$2")),"-")</f>
        <v>-</v>
      </c>
      <c r="E200" s="2" t="str">
        <f ca="1">IF(E$1&gt;$Z$4,"-",IF(COUNTIF($D$3:$D200,E$2)=$Z$3,"Full",SUMIFS($C$3:$C200,$D$3:$D200,E$2)))</f>
        <v>Full</v>
      </c>
      <c r="F200" s="2" t="str">
        <f>IF(F$1&gt;$Z$4,"-",IF(COUNTIF($D$3:$D200,F$2)=$Z$3,"Full",SUMIFS($C$3:$C200,$D$3:$D200,F$2)))</f>
        <v>-</v>
      </c>
      <c r="G200" s="2" t="str">
        <f>IF(G$1&gt;$Z$4,"-",IF(COUNTIF($D$3:$D200,G$2)=$Z$3,"Full",SUMIFS($C$3:$C200,$D$3:$D200,G$2)))</f>
        <v>-</v>
      </c>
      <c r="H200" s="2" t="str">
        <f>IF(H$1&gt;$Z$4,"-",IF(COUNTIF($D$3:$D200,H$2)=$Z$3,"Full",SUMIFS($C$3:$C200,$D$3:$D200,H$2)))</f>
        <v>-</v>
      </c>
      <c r="I200" s="2" t="str">
        <f>IF(I$1&gt;$Z$4,"-",IF(COUNTIF($D$3:$D200,I$2)=$Z$3,"Full",SUMIFS($C$3:$C200,$D$3:$D200,I$2)))</f>
        <v>-</v>
      </c>
      <c r="J200" s="2" t="str">
        <f>IF(J$1&gt;$Z$4,"-",IF(COUNTIF($D$3:$D200,J$2)=$Z$3,"Full",SUMIFS($C$3:$C200,$D$3:$D200,J$2)))</f>
        <v>-</v>
      </c>
      <c r="K200" s="2" t="str">
        <f>IF(K$1&gt;$Z$4,"-",IF(COUNTIF($D$3:$D200,K$2)=$Z$3,"Full",SUMIFS($C$3:$C200,$D$3:$D200,K$2)))</f>
        <v>-</v>
      </c>
      <c r="L200" s="2" t="str">
        <f>IF(L$1&gt;$Z$4,"-",IF(COUNTIF($D$3:$D200,L$2)=$Z$3,"Full",SUMIFS($C$3:$C200,$D$3:$D200,L$2)))</f>
        <v>-</v>
      </c>
      <c r="M200" s="2" t="str">
        <f>IF(M$1&gt;$Z$4,"-",IF(COUNTIF($D$3:$D200,M$2)=$Z$3,"Full",SUMIFS($C$3:$C200,$D$3:$D200,M$2)))</f>
        <v>-</v>
      </c>
      <c r="N200" s="2" t="str">
        <f>IF(N$1&gt;$Z$4,"-",IF(COUNTIF($D$3:$D200,N$2)=$Z$3,"Full",SUMIFS($C$3:$C200,$D$3:$D200,N$2)))</f>
        <v>-</v>
      </c>
      <c r="O200" s="2" t="str">
        <f>IF(O$1&gt;$Z$4,"-",IF(COUNTIF($D$3:$D200,O$2)=$Z$3,"Full",SUMIFS($C$3:$C200,$D$3:$D200,O$2)))</f>
        <v>-</v>
      </c>
      <c r="P200" s="2" t="str">
        <f>IF(P$1&gt;$Z$4,"-",IF(COUNTIF($D$3:$D200,P$2)=$Z$3,"Full",SUMIFS($C$3:$C200,$D$3:$D200,P$2)))</f>
        <v>-</v>
      </c>
      <c r="Q200" s="2" t="str">
        <f>IF(Q$1&gt;$Z$4,"-",IF(COUNTIF($D$3:$D200,Q$2)=$Z$3,"Full",SUMIFS($C$3:$C200,$D$3:$D200,Q$2)))</f>
        <v>-</v>
      </c>
      <c r="R200" s="2" t="str">
        <f>IF(R$1&gt;$Z$4,"-",IF(COUNTIF($D$3:$D200,R$2)=$Z$3,"Full",SUMIFS($C$3:$C200,$D$3:$D200,R$2)))</f>
        <v>-</v>
      </c>
      <c r="S200" s="2" t="str">
        <f>IF(S$1&gt;$Z$4,"-",IF(COUNTIF($D$3:$D200,S$2)=$Z$3,"Full",SUMIFS($C$3:$C200,$D$3:$D200,S$2)))</f>
        <v>-</v>
      </c>
      <c r="T200" s="11" t="str">
        <f>IF(T$1&gt;$Z$4,"-",IF(COUNTIF($D$3:$D200,T$2)=$Z$3,"Full",SUMIFS($C$3:$C200,$D$3:$D200,T$2)))</f>
        <v>-</v>
      </c>
    </row>
    <row r="201" spans="1:20" x14ac:dyDescent="0.25">
      <c r="A201" s="10" t="str">
        <f t="shared" si="156"/>
        <v/>
      </c>
      <c r="D201" s="2" t="str" cm="1">
        <f t="array" aca="1" ref="D201" ca="1">IFERROR(_xlfn.XLOOKUP(MIN(E200:INDIRECT($AA$4&amp;A201+1)),E200:INDIRECT($AA$4&amp;A201+1),$E$2:INDIRECT($AA$4&amp;"$2")),"-")</f>
        <v>-</v>
      </c>
      <c r="E201" s="2" t="str">
        <f ca="1">IF(E$1&gt;$Z$4,"-",IF(COUNTIF($D$3:$D201,E$2)=$Z$3,"Full",SUMIFS($C$3:$C201,$D$3:$D201,E$2)))</f>
        <v>Full</v>
      </c>
      <c r="F201" s="2" t="str">
        <f>IF(F$1&gt;$Z$4,"-",IF(COUNTIF($D$3:$D201,F$2)=$Z$3,"Full",SUMIFS($C$3:$C201,$D$3:$D201,F$2)))</f>
        <v>-</v>
      </c>
      <c r="G201" s="2" t="str">
        <f>IF(G$1&gt;$Z$4,"-",IF(COUNTIF($D$3:$D201,G$2)=$Z$3,"Full",SUMIFS($C$3:$C201,$D$3:$D201,G$2)))</f>
        <v>-</v>
      </c>
      <c r="H201" s="2" t="str">
        <f>IF(H$1&gt;$Z$4,"-",IF(COUNTIF($D$3:$D201,H$2)=$Z$3,"Full",SUMIFS($C$3:$C201,$D$3:$D201,H$2)))</f>
        <v>-</v>
      </c>
      <c r="I201" s="2" t="str">
        <f>IF(I$1&gt;$Z$4,"-",IF(COUNTIF($D$3:$D201,I$2)=$Z$3,"Full",SUMIFS($C$3:$C201,$D$3:$D201,I$2)))</f>
        <v>-</v>
      </c>
      <c r="J201" s="2" t="str">
        <f>IF(J$1&gt;$Z$4,"-",IF(COUNTIF($D$3:$D201,J$2)=$Z$3,"Full",SUMIFS($C$3:$C201,$D$3:$D201,J$2)))</f>
        <v>-</v>
      </c>
      <c r="K201" s="2" t="str">
        <f>IF(K$1&gt;$Z$4,"-",IF(COUNTIF($D$3:$D201,K$2)=$Z$3,"Full",SUMIFS($C$3:$C201,$D$3:$D201,K$2)))</f>
        <v>-</v>
      </c>
      <c r="L201" s="2" t="str">
        <f>IF(L$1&gt;$Z$4,"-",IF(COUNTIF($D$3:$D201,L$2)=$Z$3,"Full",SUMIFS($C$3:$C201,$D$3:$D201,L$2)))</f>
        <v>-</v>
      </c>
      <c r="M201" s="2" t="str">
        <f>IF(M$1&gt;$Z$4,"-",IF(COUNTIF($D$3:$D201,M$2)=$Z$3,"Full",SUMIFS($C$3:$C201,$D$3:$D201,M$2)))</f>
        <v>-</v>
      </c>
      <c r="N201" s="2" t="str">
        <f>IF(N$1&gt;$Z$4,"-",IF(COUNTIF($D$3:$D201,N$2)=$Z$3,"Full",SUMIFS($C$3:$C201,$D$3:$D201,N$2)))</f>
        <v>-</v>
      </c>
      <c r="O201" s="2" t="str">
        <f>IF(O$1&gt;$Z$4,"-",IF(COUNTIF($D$3:$D201,O$2)=$Z$3,"Full",SUMIFS($C$3:$C201,$D$3:$D201,O$2)))</f>
        <v>-</v>
      </c>
      <c r="P201" s="2" t="str">
        <f>IF(P$1&gt;$Z$4,"-",IF(COUNTIF($D$3:$D201,P$2)=$Z$3,"Full",SUMIFS($C$3:$C201,$D$3:$D201,P$2)))</f>
        <v>-</v>
      </c>
      <c r="Q201" s="2" t="str">
        <f>IF(Q$1&gt;$Z$4,"-",IF(COUNTIF($D$3:$D201,Q$2)=$Z$3,"Full",SUMIFS($C$3:$C201,$D$3:$D201,Q$2)))</f>
        <v>-</v>
      </c>
      <c r="R201" s="2" t="str">
        <f>IF(R$1&gt;$Z$4,"-",IF(COUNTIF($D$3:$D201,R$2)=$Z$3,"Full",SUMIFS($C$3:$C201,$D$3:$D201,R$2)))</f>
        <v>-</v>
      </c>
      <c r="S201" s="2" t="str">
        <f>IF(S$1&gt;$Z$4,"-",IF(COUNTIF($D$3:$D201,S$2)=$Z$3,"Full",SUMIFS($C$3:$C201,$D$3:$D201,S$2)))</f>
        <v>-</v>
      </c>
      <c r="T201" s="11" t="str">
        <f>IF(T$1&gt;$Z$4,"-",IF(COUNTIF($D$3:$D201,T$2)=$Z$3,"Full",SUMIFS($C$3:$C201,$D$3:$D201,T$2)))</f>
        <v>-</v>
      </c>
    </row>
    <row r="202" spans="1:20" x14ac:dyDescent="0.25">
      <c r="A202" s="10" t="str">
        <f t="shared" si="156"/>
        <v/>
      </c>
      <c r="D202" s="2" t="str" cm="1">
        <f t="array" aca="1" ref="D202" ca="1">IFERROR(_xlfn.XLOOKUP(MIN(E201:INDIRECT($AA$4&amp;A202+1)),E201:INDIRECT($AA$4&amp;A202+1),$E$2:INDIRECT($AA$4&amp;"$2")),"-")</f>
        <v>-</v>
      </c>
      <c r="E202" s="2" t="str">
        <f ca="1">IF(E$1&gt;$Z$4,"-",IF(COUNTIF($D$3:$D202,E$2)=$Z$3,"Full",SUMIFS($C$3:$C202,$D$3:$D202,E$2)))</f>
        <v>Full</v>
      </c>
      <c r="F202" s="2" t="str">
        <f>IF(F$1&gt;$Z$4,"-",IF(COUNTIF($D$3:$D202,F$2)=$Z$3,"Full",SUMIFS($C$3:$C202,$D$3:$D202,F$2)))</f>
        <v>-</v>
      </c>
      <c r="G202" s="2" t="str">
        <f>IF(G$1&gt;$Z$4,"-",IF(COUNTIF($D$3:$D202,G$2)=$Z$3,"Full",SUMIFS($C$3:$C202,$D$3:$D202,G$2)))</f>
        <v>-</v>
      </c>
      <c r="H202" s="2" t="str">
        <f>IF(H$1&gt;$Z$4,"-",IF(COUNTIF($D$3:$D202,H$2)=$Z$3,"Full",SUMIFS($C$3:$C202,$D$3:$D202,H$2)))</f>
        <v>-</v>
      </c>
      <c r="I202" s="2" t="str">
        <f>IF(I$1&gt;$Z$4,"-",IF(COUNTIF($D$3:$D202,I$2)=$Z$3,"Full",SUMIFS($C$3:$C202,$D$3:$D202,I$2)))</f>
        <v>-</v>
      </c>
      <c r="J202" s="2" t="str">
        <f>IF(J$1&gt;$Z$4,"-",IF(COUNTIF($D$3:$D202,J$2)=$Z$3,"Full",SUMIFS($C$3:$C202,$D$3:$D202,J$2)))</f>
        <v>-</v>
      </c>
      <c r="K202" s="2" t="str">
        <f>IF(K$1&gt;$Z$4,"-",IF(COUNTIF($D$3:$D202,K$2)=$Z$3,"Full",SUMIFS($C$3:$C202,$D$3:$D202,K$2)))</f>
        <v>-</v>
      </c>
      <c r="L202" s="2" t="str">
        <f>IF(L$1&gt;$Z$4,"-",IF(COUNTIF($D$3:$D202,L$2)=$Z$3,"Full",SUMIFS($C$3:$C202,$D$3:$D202,L$2)))</f>
        <v>-</v>
      </c>
      <c r="M202" s="2" t="str">
        <f>IF(M$1&gt;$Z$4,"-",IF(COUNTIF($D$3:$D202,M$2)=$Z$3,"Full",SUMIFS($C$3:$C202,$D$3:$D202,M$2)))</f>
        <v>-</v>
      </c>
      <c r="N202" s="2" t="str">
        <f>IF(N$1&gt;$Z$4,"-",IF(COUNTIF($D$3:$D202,N$2)=$Z$3,"Full",SUMIFS($C$3:$C202,$D$3:$D202,N$2)))</f>
        <v>-</v>
      </c>
      <c r="O202" s="2" t="str">
        <f>IF(O$1&gt;$Z$4,"-",IF(COUNTIF($D$3:$D202,O$2)=$Z$3,"Full",SUMIFS($C$3:$C202,$D$3:$D202,O$2)))</f>
        <v>-</v>
      </c>
      <c r="P202" s="2" t="str">
        <f>IF(P$1&gt;$Z$4,"-",IF(COUNTIF($D$3:$D202,P$2)=$Z$3,"Full",SUMIFS($C$3:$C202,$D$3:$D202,P$2)))</f>
        <v>-</v>
      </c>
      <c r="Q202" s="2" t="str">
        <f>IF(Q$1&gt;$Z$4,"-",IF(COUNTIF($D$3:$D202,Q$2)=$Z$3,"Full",SUMIFS($C$3:$C202,$D$3:$D202,Q$2)))</f>
        <v>-</v>
      </c>
      <c r="R202" s="2" t="str">
        <f>IF(R$1&gt;$Z$4,"-",IF(COUNTIF($D$3:$D202,R$2)=$Z$3,"Full",SUMIFS($C$3:$C202,$D$3:$D202,R$2)))</f>
        <v>-</v>
      </c>
      <c r="S202" s="2" t="str">
        <f>IF(S$1&gt;$Z$4,"-",IF(COUNTIF($D$3:$D202,S$2)=$Z$3,"Full",SUMIFS($C$3:$C202,$D$3:$D202,S$2)))</f>
        <v>-</v>
      </c>
      <c r="T202" s="11" t="str">
        <f>IF(T$1&gt;$Z$4,"-",IF(COUNTIF($D$3:$D202,T$2)=$Z$3,"Full",SUMIFS($C$3:$C202,$D$3:$D202,T$2)))</f>
        <v>-</v>
      </c>
    </row>
    <row r="203" spans="1:20" x14ac:dyDescent="0.25">
      <c r="A203" s="10" t="str">
        <f t="shared" si="156"/>
        <v/>
      </c>
      <c r="D203" s="2" t="str" cm="1">
        <f t="array" aca="1" ref="D203" ca="1">IFERROR(_xlfn.XLOOKUP(MIN(E202:INDIRECT($AA$4&amp;A203+1)),E202:INDIRECT($AA$4&amp;A203+1),$E$2:INDIRECT($AA$4&amp;"$2")),"-")</f>
        <v>-</v>
      </c>
      <c r="E203" s="2" t="str">
        <f ca="1">IF(E$1&gt;$Z$4,"-",IF(COUNTIF($D$3:$D203,E$2)=$Z$3,"Full",SUMIFS($C$3:$C203,$D$3:$D203,E$2)))</f>
        <v>Full</v>
      </c>
      <c r="F203" s="2" t="str">
        <f>IF(F$1&gt;$Z$4,"-",IF(COUNTIF($D$3:$D203,F$2)=$Z$3,"Full",SUMIFS($C$3:$C203,$D$3:$D203,F$2)))</f>
        <v>-</v>
      </c>
      <c r="G203" s="2" t="str">
        <f>IF(G$1&gt;$Z$4,"-",IF(COUNTIF($D$3:$D203,G$2)=$Z$3,"Full",SUMIFS($C$3:$C203,$D$3:$D203,G$2)))</f>
        <v>-</v>
      </c>
      <c r="H203" s="2" t="str">
        <f>IF(H$1&gt;$Z$4,"-",IF(COUNTIF($D$3:$D203,H$2)=$Z$3,"Full",SUMIFS($C$3:$C203,$D$3:$D203,H$2)))</f>
        <v>-</v>
      </c>
      <c r="I203" s="2" t="str">
        <f>IF(I$1&gt;$Z$4,"-",IF(COUNTIF($D$3:$D203,I$2)=$Z$3,"Full",SUMIFS($C$3:$C203,$D$3:$D203,I$2)))</f>
        <v>-</v>
      </c>
      <c r="J203" s="2" t="str">
        <f>IF(J$1&gt;$Z$4,"-",IF(COUNTIF($D$3:$D203,J$2)=$Z$3,"Full",SUMIFS($C$3:$C203,$D$3:$D203,J$2)))</f>
        <v>-</v>
      </c>
      <c r="K203" s="2" t="str">
        <f>IF(K$1&gt;$Z$4,"-",IF(COUNTIF($D$3:$D203,K$2)=$Z$3,"Full",SUMIFS($C$3:$C203,$D$3:$D203,K$2)))</f>
        <v>-</v>
      </c>
      <c r="L203" s="2" t="str">
        <f>IF(L$1&gt;$Z$4,"-",IF(COUNTIF($D$3:$D203,L$2)=$Z$3,"Full",SUMIFS($C$3:$C203,$D$3:$D203,L$2)))</f>
        <v>-</v>
      </c>
      <c r="M203" s="2" t="str">
        <f>IF(M$1&gt;$Z$4,"-",IF(COUNTIF($D$3:$D203,M$2)=$Z$3,"Full",SUMIFS($C$3:$C203,$D$3:$D203,M$2)))</f>
        <v>-</v>
      </c>
      <c r="N203" s="2" t="str">
        <f>IF(N$1&gt;$Z$4,"-",IF(COUNTIF($D$3:$D203,N$2)=$Z$3,"Full",SUMIFS($C$3:$C203,$D$3:$D203,N$2)))</f>
        <v>-</v>
      </c>
      <c r="O203" s="2" t="str">
        <f>IF(O$1&gt;$Z$4,"-",IF(COUNTIF($D$3:$D203,O$2)=$Z$3,"Full",SUMIFS($C$3:$C203,$D$3:$D203,O$2)))</f>
        <v>-</v>
      </c>
      <c r="P203" s="2" t="str">
        <f>IF(P$1&gt;$Z$4,"-",IF(COUNTIF($D$3:$D203,P$2)=$Z$3,"Full",SUMIFS($C$3:$C203,$D$3:$D203,P$2)))</f>
        <v>-</v>
      </c>
      <c r="Q203" s="2" t="str">
        <f>IF(Q$1&gt;$Z$4,"-",IF(COUNTIF($D$3:$D203,Q$2)=$Z$3,"Full",SUMIFS($C$3:$C203,$D$3:$D203,Q$2)))</f>
        <v>-</v>
      </c>
      <c r="R203" s="2" t="str">
        <f>IF(R$1&gt;$Z$4,"-",IF(COUNTIF($D$3:$D203,R$2)=$Z$3,"Full",SUMIFS($C$3:$C203,$D$3:$D203,R$2)))</f>
        <v>-</v>
      </c>
      <c r="S203" s="2" t="str">
        <f>IF(S$1&gt;$Z$4,"-",IF(COUNTIF($D$3:$D203,S$2)=$Z$3,"Full",SUMIFS($C$3:$C203,$D$3:$D203,S$2)))</f>
        <v>-</v>
      </c>
      <c r="T203" s="11" t="str">
        <f>IF(T$1&gt;$Z$4,"-",IF(COUNTIF($D$3:$D203,T$2)=$Z$3,"Full",SUMIFS($C$3:$C203,$D$3:$D203,T$2)))</f>
        <v>-</v>
      </c>
    </row>
    <row r="204" spans="1:20" x14ac:dyDescent="0.25">
      <c r="A204" s="10" t="str">
        <f t="shared" si="156"/>
        <v/>
      </c>
      <c r="D204" s="2" t="str" cm="1">
        <f t="array" aca="1" ref="D204" ca="1">IFERROR(_xlfn.XLOOKUP(MIN(E203:INDIRECT($AA$4&amp;A204+1)),E203:INDIRECT($AA$4&amp;A204+1),$E$2:INDIRECT($AA$4&amp;"$2")),"-")</f>
        <v>-</v>
      </c>
      <c r="E204" s="2" t="str">
        <f ca="1">IF(E$1&gt;$Z$4,"-",IF(COUNTIF($D$3:$D204,E$2)=$Z$3,"Full",SUMIFS($C$3:$C204,$D$3:$D204,E$2)))</f>
        <v>Full</v>
      </c>
      <c r="F204" s="2" t="str">
        <f>IF(F$1&gt;$Z$4,"-",IF(COUNTIF($D$3:$D204,F$2)=$Z$3,"Full",SUMIFS($C$3:$C204,$D$3:$D204,F$2)))</f>
        <v>-</v>
      </c>
      <c r="G204" s="2" t="str">
        <f>IF(G$1&gt;$Z$4,"-",IF(COUNTIF($D$3:$D204,G$2)=$Z$3,"Full",SUMIFS($C$3:$C204,$D$3:$D204,G$2)))</f>
        <v>-</v>
      </c>
      <c r="H204" s="2" t="str">
        <f>IF(H$1&gt;$Z$4,"-",IF(COUNTIF($D$3:$D204,H$2)=$Z$3,"Full",SUMIFS($C$3:$C204,$D$3:$D204,H$2)))</f>
        <v>-</v>
      </c>
      <c r="I204" s="2" t="str">
        <f>IF(I$1&gt;$Z$4,"-",IF(COUNTIF($D$3:$D204,I$2)=$Z$3,"Full",SUMIFS($C$3:$C204,$D$3:$D204,I$2)))</f>
        <v>-</v>
      </c>
      <c r="J204" s="2" t="str">
        <f>IF(J$1&gt;$Z$4,"-",IF(COUNTIF($D$3:$D204,J$2)=$Z$3,"Full",SUMIFS($C$3:$C204,$D$3:$D204,J$2)))</f>
        <v>-</v>
      </c>
      <c r="K204" s="2" t="str">
        <f>IF(K$1&gt;$Z$4,"-",IF(COUNTIF($D$3:$D204,K$2)=$Z$3,"Full",SUMIFS($C$3:$C204,$D$3:$D204,K$2)))</f>
        <v>-</v>
      </c>
      <c r="L204" s="2" t="str">
        <f>IF(L$1&gt;$Z$4,"-",IF(COUNTIF($D$3:$D204,L$2)=$Z$3,"Full",SUMIFS($C$3:$C204,$D$3:$D204,L$2)))</f>
        <v>-</v>
      </c>
      <c r="M204" s="2" t="str">
        <f>IF(M$1&gt;$Z$4,"-",IF(COUNTIF($D$3:$D204,M$2)=$Z$3,"Full",SUMIFS($C$3:$C204,$D$3:$D204,M$2)))</f>
        <v>-</v>
      </c>
      <c r="N204" s="2" t="str">
        <f>IF(N$1&gt;$Z$4,"-",IF(COUNTIF($D$3:$D204,N$2)=$Z$3,"Full",SUMIFS($C$3:$C204,$D$3:$D204,N$2)))</f>
        <v>-</v>
      </c>
      <c r="O204" s="2" t="str">
        <f>IF(O$1&gt;$Z$4,"-",IF(COUNTIF($D$3:$D204,O$2)=$Z$3,"Full",SUMIFS($C$3:$C204,$D$3:$D204,O$2)))</f>
        <v>-</v>
      </c>
      <c r="P204" s="2" t="str">
        <f>IF(P$1&gt;$Z$4,"-",IF(COUNTIF($D$3:$D204,P$2)=$Z$3,"Full",SUMIFS($C$3:$C204,$D$3:$D204,P$2)))</f>
        <v>-</v>
      </c>
      <c r="Q204" s="2" t="str">
        <f>IF(Q$1&gt;$Z$4,"-",IF(COUNTIF($D$3:$D204,Q$2)=$Z$3,"Full",SUMIFS($C$3:$C204,$D$3:$D204,Q$2)))</f>
        <v>-</v>
      </c>
      <c r="R204" s="2" t="str">
        <f>IF(R$1&gt;$Z$4,"-",IF(COUNTIF($D$3:$D204,R$2)=$Z$3,"Full",SUMIFS($C$3:$C204,$D$3:$D204,R$2)))</f>
        <v>-</v>
      </c>
      <c r="S204" s="2" t="str">
        <f>IF(S$1&gt;$Z$4,"-",IF(COUNTIF($D$3:$D204,S$2)=$Z$3,"Full",SUMIFS($C$3:$C204,$D$3:$D204,S$2)))</f>
        <v>-</v>
      </c>
      <c r="T204" s="11" t="str">
        <f>IF(T$1&gt;$Z$4,"-",IF(COUNTIF($D$3:$D204,T$2)=$Z$3,"Full",SUMIFS($C$3:$C204,$D$3:$D204,T$2)))</f>
        <v>-</v>
      </c>
    </row>
    <row r="205" spans="1:20" x14ac:dyDescent="0.25">
      <c r="A205" s="10" t="str">
        <f t="shared" si="156"/>
        <v/>
      </c>
      <c r="D205" s="2" t="str" cm="1">
        <f t="array" aca="1" ref="D205" ca="1">IFERROR(_xlfn.XLOOKUP(MIN(E204:INDIRECT($AA$4&amp;A205+1)),E204:INDIRECT($AA$4&amp;A205+1),$E$2:INDIRECT($AA$4&amp;"$2")),"-")</f>
        <v>-</v>
      </c>
      <c r="E205" s="2" t="str">
        <f ca="1">IF(E$1&gt;$Z$4,"-",IF(COUNTIF($D$3:$D205,E$2)=$Z$3,"Full",SUMIFS($C$3:$C205,$D$3:$D205,E$2)))</f>
        <v>Full</v>
      </c>
      <c r="F205" s="2" t="str">
        <f>IF(F$1&gt;$Z$4,"-",IF(COUNTIF($D$3:$D205,F$2)=$Z$3,"Full",SUMIFS($C$3:$C205,$D$3:$D205,F$2)))</f>
        <v>-</v>
      </c>
      <c r="G205" s="2" t="str">
        <f>IF(G$1&gt;$Z$4,"-",IF(COUNTIF($D$3:$D205,G$2)=$Z$3,"Full",SUMIFS($C$3:$C205,$D$3:$D205,G$2)))</f>
        <v>-</v>
      </c>
      <c r="H205" s="2" t="str">
        <f>IF(H$1&gt;$Z$4,"-",IF(COUNTIF($D$3:$D205,H$2)=$Z$3,"Full",SUMIFS($C$3:$C205,$D$3:$D205,H$2)))</f>
        <v>-</v>
      </c>
      <c r="I205" s="2" t="str">
        <f>IF(I$1&gt;$Z$4,"-",IF(COUNTIF($D$3:$D205,I$2)=$Z$3,"Full",SUMIFS($C$3:$C205,$D$3:$D205,I$2)))</f>
        <v>-</v>
      </c>
      <c r="J205" s="2" t="str">
        <f>IF(J$1&gt;$Z$4,"-",IF(COUNTIF($D$3:$D205,J$2)=$Z$3,"Full",SUMIFS($C$3:$C205,$D$3:$D205,J$2)))</f>
        <v>-</v>
      </c>
      <c r="K205" s="2" t="str">
        <f>IF(K$1&gt;$Z$4,"-",IF(COUNTIF($D$3:$D205,K$2)=$Z$3,"Full",SUMIFS($C$3:$C205,$D$3:$D205,K$2)))</f>
        <v>-</v>
      </c>
      <c r="L205" s="2" t="str">
        <f>IF(L$1&gt;$Z$4,"-",IF(COUNTIF($D$3:$D205,L$2)=$Z$3,"Full",SUMIFS($C$3:$C205,$D$3:$D205,L$2)))</f>
        <v>-</v>
      </c>
      <c r="M205" s="2" t="str">
        <f>IF(M$1&gt;$Z$4,"-",IF(COUNTIF($D$3:$D205,M$2)=$Z$3,"Full",SUMIFS($C$3:$C205,$D$3:$D205,M$2)))</f>
        <v>-</v>
      </c>
      <c r="N205" s="2" t="str">
        <f>IF(N$1&gt;$Z$4,"-",IF(COUNTIF($D$3:$D205,N$2)=$Z$3,"Full",SUMIFS($C$3:$C205,$D$3:$D205,N$2)))</f>
        <v>-</v>
      </c>
      <c r="O205" s="2" t="str">
        <f>IF(O$1&gt;$Z$4,"-",IF(COUNTIF($D$3:$D205,O$2)=$Z$3,"Full",SUMIFS($C$3:$C205,$D$3:$D205,O$2)))</f>
        <v>-</v>
      </c>
      <c r="P205" s="2" t="str">
        <f>IF(P$1&gt;$Z$4,"-",IF(COUNTIF($D$3:$D205,P$2)=$Z$3,"Full",SUMIFS($C$3:$C205,$D$3:$D205,P$2)))</f>
        <v>-</v>
      </c>
      <c r="Q205" s="2" t="str">
        <f>IF(Q$1&gt;$Z$4,"-",IF(COUNTIF($D$3:$D205,Q$2)=$Z$3,"Full",SUMIFS($C$3:$C205,$D$3:$D205,Q$2)))</f>
        <v>-</v>
      </c>
      <c r="R205" s="2" t="str">
        <f>IF(R$1&gt;$Z$4,"-",IF(COUNTIF($D$3:$D205,R$2)=$Z$3,"Full",SUMIFS($C$3:$C205,$D$3:$D205,R$2)))</f>
        <v>-</v>
      </c>
      <c r="S205" s="2" t="str">
        <f>IF(S$1&gt;$Z$4,"-",IF(COUNTIF($D$3:$D205,S$2)=$Z$3,"Full",SUMIFS($C$3:$C205,$D$3:$D205,S$2)))</f>
        <v>-</v>
      </c>
      <c r="T205" s="11" t="str">
        <f>IF(T$1&gt;$Z$4,"-",IF(COUNTIF($D$3:$D205,T$2)=$Z$3,"Full",SUMIFS($C$3:$C205,$D$3:$D205,T$2)))</f>
        <v>-</v>
      </c>
    </row>
    <row r="206" spans="1:20" x14ac:dyDescent="0.25">
      <c r="A206" s="10" t="str">
        <f t="shared" si="156"/>
        <v/>
      </c>
      <c r="D206" s="2" t="str" cm="1">
        <f t="array" aca="1" ref="D206" ca="1">IFERROR(_xlfn.XLOOKUP(MIN(E205:INDIRECT($AA$4&amp;A206+1)),E205:INDIRECT($AA$4&amp;A206+1),$E$2:INDIRECT($AA$4&amp;"$2")),"-")</f>
        <v>-</v>
      </c>
      <c r="E206" s="2" t="str">
        <f ca="1">IF(E$1&gt;$Z$4,"-",IF(COUNTIF($D$3:$D206,E$2)=$Z$3,"Full",SUMIFS($C$3:$C206,$D$3:$D206,E$2)))</f>
        <v>Full</v>
      </c>
      <c r="F206" s="2" t="str">
        <f>IF(F$1&gt;$Z$4,"-",IF(COUNTIF($D$3:$D206,F$2)=$Z$3,"Full",SUMIFS($C$3:$C206,$D$3:$D206,F$2)))</f>
        <v>-</v>
      </c>
      <c r="G206" s="2" t="str">
        <f>IF(G$1&gt;$Z$4,"-",IF(COUNTIF($D$3:$D206,G$2)=$Z$3,"Full",SUMIFS($C$3:$C206,$D$3:$D206,G$2)))</f>
        <v>-</v>
      </c>
      <c r="H206" s="2" t="str">
        <f>IF(H$1&gt;$Z$4,"-",IF(COUNTIF($D$3:$D206,H$2)=$Z$3,"Full",SUMIFS($C$3:$C206,$D$3:$D206,H$2)))</f>
        <v>-</v>
      </c>
      <c r="I206" s="2" t="str">
        <f>IF(I$1&gt;$Z$4,"-",IF(COUNTIF($D$3:$D206,I$2)=$Z$3,"Full",SUMIFS($C$3:$C206,$D$3:$D206,I$2)))</f>
        <v>-</v>
      </c>
      <c r="J206" s="2" t="str">
        <f>IF(J$1&gt;$Z$4,"-",IF(COUNTIF($D$3:$D206,J$2)=$Z$3,"Full",SUMIFS($C$3:$C206,$D$3:$D206,J$2)))</f>
        <v>-</v>
      </c>
      <c r="K206" s="2" t="str">
        <f>IF(K$1&gt;$Z$4,"-",IF(COUNTIF($D$3:$D206,K$2)=$Z$3,"Full",SUMIFS($C$3:$C206,$D$3:$D206,K$2)))</f>
        <v>-</v>
      </c>
      <c r="L206" s="2" t="str">
        <f>IF(L$1&gt;$Z$4,"-",IF(COUNTIF($D$3:$D206,L$2)=$Z$3,"Full",SUMIFS($C$3:$C206,$D$3:$D206,L$2)))</f>
        <v>-</v>
      </c>
      <c r="M206" s="2" t="str">
        <f>IF(M$1&gt;$Z$4,"-",IF(COUNTIF($D$3:$D206,M$2)=$Z$3,"Full",SUMIFS($C$3:$C206,$D$3:$D206,M$2)))</f>
        <v>-</v>
      </c>
      <c r="N206" s="2" t="str">
        <f>IF(N$1&gt;$Z$4,"-",IF(COUNTIF($D$3:$D206,N$2)=$Z$3,"Full",SUMIFS($C$3:$C206,$D$3:$D206,N$2)))</f>
        <v>-</v>
      </c>
      <c r="O206" s="2" t="str">
        <f>IF(O$1&gt;$Z$4,"-",IF(COUNTIF($D$3:$D206,O$2)=$Z$3,"Full",SUMIFS($C$3:$C206,$D$3:$D206,O$2)))</f>
        <v>-</v>
      </c>
      <c r="P206" s="2" t="str">
        <f>IF(P$1&gt;$Z$4,"-",IF(COUNTIF($D$3:$D206,P$2)=$Z$3,"Full",SUMIFS($C$3:$C206,$D$3:$D206,P$2)))</f>
        <v>-</v>
      </c>
      <c r="Q206" s="2" t="str">
        <f>IF(Q$1&gt;$Z$4,"-",IF(COUNTIF($D$3:$D206,Q$2)=$Z$3,"Full",SUMIFS($C$3:$C206,$D$3:$D206,Q$2)))</f>
        <v>-</v>
      </c>
      <c r="R206" s="2" t="str">
        <f>IF(R$1&gt;$Z$4,"-",IF(COUNTIF($D$3:$D206,R$2)=$Z$3,"Full",SUMIFS($C$3:$C206,$D$3:$D206,R$2)))</f>
        <v>-</v>
      </c>
      <c r="S206" s="2" t="str">
        <f>IF(S$1&gt;$Z$4,"-",IF(COUNTIF($D$3:$D206,S$2)=$Z$3,"Full",SUMIFS($C$3:$C206,$D$3:$D206,S$2)))</f>
        <v>-</v>
      </c>
      <c r="T206" s="11" t="str">
        <f>IF(T$1&gt;$Z$4,"-",IF(COUNTIF($D$3:$D206,T$2)=$Z$3,"Full",SUMIFS($C$3:$C206,$D$3:$D206,T$2)))</f>
        <v>-</v>
      </c>
    </row>
    <row r="207" spans="1:20" x14ac:dyDescent="0.25">
      <c r="A207" s="10" t="str">
        <f t="shared" si="156"/>
        <v/>
      </c>
      <c r="D207" s="2" t="str" cm="1">
        <f t="array" aca="1" ref="D207" ca="1">IFERROR(_xlfn.XLOOKUP(MIN(E206:INDIRECT($AA$4&amp;A207+1)),E206:INDIRECT($AA$4&amp;A207+1),$E$2:INDIRECT($AA$4&amp;"$2")),"-")</f>
        <v>-</v>
      </c>
      <c r="E207" s="2" t="str">
        <f ca="1">IF(E$1&gt;$Z$4,"-",IF(COUNTIF($D$3:$D207,E$2)=$Z$3,"Full",SUMIFS($C$3:$C207,$D$3:$D207,E$2)))</f>
        <v>Full</v>
      </c>
      <c r="F207" s="2" t="str">
        <f>IF(F$1&gt;$Z$4,"-",IF(COUNTIF($D$3:$D207,F$2)=$Z$3,"Full",SUMIFS($C$3:$C207,$D$3:$D207,F$2)))</f>
        <v>-</v>
      </c>
      <c r="G207" s="2" t="str">
        <f>IF(G$1&gt;$Z$4,"-",IF(COUNTIF($D$3:$D207,G$2)=$Z$3,"Full",SUMIFS($C$3:$C207,$D$3:$D207,G$2)))</f>
        <v>-</v>
      </c>
      <c r="H207" s="2" t="str">
        <f>IF(H$1&gt;$Z$4,"-",IF(COUNTIF($D$3:$D207,H$2)=$Z$3,"Full",SUMIFS($C$3:$C207,$D$3:$D207,H$2)))</f>
        <v>-</v>
      </c>
      <c r="I207" s="2" t="str">
        <f>IF(I$1&gt;$Z$4,"-",IF(COUNTIF($D$3:$D207,I$2)=$Z$3,"Full",SUMIFS($C$3:$C207,$D$3:$D207,I$2)))</f>
        <v>-</v>
      </c>
      <c r="J207" s="2" t="str">
        <f>IF(J$1&gt;$Z$4,"-",IF(COUNTIF($D$3:$D207,J$2)=$Z$3,"Full",SUMIFS($C$3:$C207,$D$3:$D207,J$2)))</f>
        <v>-</v>
      </c>
      <c r="K207" s="2" t="str">
        <f>IF(K$1&gt;$Z$4,"-",IF(COUNTIF($D$3:$D207,K$2)=$Z$3,"Full",SUMIFS($C$3:$C207,$D$3:$D207,K$2)))</f>
        <v>-</v>
      </c>
      <c r="L207" s="2" t="str">
        <f>IF(L$1&gt;$Z$4,"-",IF(COUNTIF($D$3:$D207,L$2)=$Z$3,"Full",SUMIFS($C$3:$C207,$D$3:$D207,L$2)))</f>
        <v>-</v>
      </c>
      <c r="M207" s="2" t="str">
        <f>IF(M$1&gt;$Z$4,"-",IF(COUNTIF($D$3:$D207,M$2)=$Z$3,"Full",SUMIFS($C$3:$C207,$D$3:$D207,M$2)))</f>
        <v>-</v>
      </c>
      <c r="N207" s="2" t="str">
        <f>IF(N$1&gt;$Z$4,"-",IF(COUNTIF($D$3:$D207,N$2)=$Z$3,"Full",SUMIFS($C$3:$C207,$D$3:$D207,N$2)))</f>
        <v>-</v>
      </c>
      <c r="O207" s="2" t="str">
        <f>IF(O$1&gt;$Z$4,"-",IF(COUNTIF($D$3:$D207,O$2)=$Z$3,"Full",SUMIFS($C$3:$C207,$D$3:$D207,O$2)))</f>
        <v>-</v>
      </c>
      <c r="P207" s="2" t="str">
        <f>IF(P$1&gt;$Z$4,"-",IF(COUNTIF($D$3:$D207,P$2)=$Z$3,"Full",SUMIFS($C$3:$C207,$D$3:$D207,P$2)))</f>
        <v>-</v>
      </c>
      <c r="Q207" s="2" t="str">
        <f>IF(Q$1&gt;$Z$4,"-",IF(COUNTIF($D$3:$D207,Q$2)=$Z$3,"Full",SUMIFS($C$3:$C207,$D$3:$D207,Q$2)))</f>
        <v>-</v>
      </c>
      <c r="R207" s="2" t="str">
        <f>IF(R$1&gt;$Z$4,"-",IF(COUNTIF($D$3:$D207,R$2)=$Z$3,"Full",SUMIFS($C$3:$C207,$D$3:$D207,R$2)))</f>
        <v>-</v>
      </c>
      <c r="S207" s="2" t="str">
        <f>IF(S$1&gt;$Z$4,"-",IF(COUNTIF($D$3:$D207,S$2)=$Z$3,"Full",SUMIFS($C$3:$C207,$D$3:$D207,S$2)))</f>
        <v>-</v>
      </c>
      <c r="T207" s="11" t="str">
        <f>IF(T$1&gt;$Z$4,"-",IF(COUNTIF($D$3:$D207,T$2)=$Z$3,"Full",SUMIFS($C$3:$C207,$D$3:$D207,T$2)))</f>
        <v>-</v>
      </c>
    </row>
    <row r="208" spans="1:20" x14ac:dyDescent="0.25">
      <c r="A208" s="10" t="str">
        <f t="shared" si="156"/>
        <v/>
      </c>
      <c r="D208" s="2" t="str" cm="1">
        <f t="array" aca="1" ref="D208" ca="1">IFERROR(_xlfn.XLOOKUP(MIN(E207:INDIRECT($AA$4&amp;A208+1)),E207:INDIRECT($AA$4&amp;A208+1),$E$2:INDIRECT($AA$4&amp;"$2")),"-")</f>
        <v>-</v>
      </c>
      <c r="E208" s="2" t="str">
        <f ca="1">IF(E$1&gt;$Z$4,"-",IF(COUNTIF($D$3:$D208,E$2)=$Z$3,"Full",SUMIFS($C$3:$C208,$D$3:$D208,E$2)))</f>
        <v>Full</v>
      </c>
      <c r="F208" s="2" t="str">
        <f>IF(F$1&gt;$Z$4,"-",IF(COUNTIF($D$3:$D208,F$2)=$Z$3,"Full",SUMIFS($C$3:$C208,$D$3:$D208,F$2)))</f>
        <v>-</v>
      </c>
      <c r="G208" s="2" t="str">
        <f>IF(G$1&gt;$Z$4,"-",IF(COUNTIF($D$3:$D208,G$2)=$Z$3,"Full",SUMIFS($C$3:$C208,$D$3:$D208,G$2)))</f>
        <v>-</v>
      </c>
      <c r="H208" s="2" t="str">
        <f>IF(H$1&gt;$Z$4,"-",IF(COUNTIF($D$3:$D208,H$2)=$Z$3,"Full",SUMIFS($C$3:$C208,$D$3:$D208,H$2)))</f>
        <v>-</v>
      </c>
      <c r="I208" s="2" t="str">
        <f>IF(I$1&gt;$Z$4,"-",IF(COUNTIF($D$3:$D208,I$2)=$Z$3,"Full",SUMIFS($C$3:$C208,$D$3:$D208,I$2)))</f>
        <v>-</v>
      </c>
      <c r="J208" s="2" t="str">
        <f>IF(J$1&gt;$Z$4,"-",IF(COUNTIF($D$3:$D208,J$2)=$Z$3,"Full",SUMIFS($C$3:$C208,$D$3:$D208,J$2)))</f>
        <v>-</v>
      </c>
      <c r="K208" s="2" t="str">
        <f>IF(K$1&gt;$Z$4,"-",IF(COUNTIF($D$3:$D208,K$2)=$Z$3,"Full",SUMIFS($C$3:$C208,$D$3:$D208,K$2)))</f>
        <v>-</v>
      </c>
      <c r="L208" s="2" t="str">
        <f>IF(L$1&gt;$Z$4,"-",IF(COUNTIF($D$3:$D208,L$2)=$Z$3,"Full",SUMIFS($C$3:$C208,$D$3:$D208,L$2)))</f>
        <v>-</v>
      </c>
      <c r="M208" s="2" t="str">
        <f>IF(M$1&gt;$Z$4,"-",IF(COUNTIF($D$3:$D208,M$2)=$Z$3,"Full",SUMIFS($C$3:$C208,$D$3:$D208,M$2)))</f>
        <v>-</v>
      </c>
      <c r="N208" s="2" t="str">
        <f>IF(N$1&gt;$Z$4,"-",IF(COUNTIF($D$3:$D208,N$2)=$Z$3,"Full",SUMIFS($C$3:$C208,$D$3:$D208,N$2)))</f>
        <v>-</v>
      </c>
      <c r="O208" s="2" t="str">
        <f>IF(O$1&gt;$Z$4,"-",IF(COUNTIF($D$3:$D208,O$2)=$Z$3,"Full",SUMIFS($C$3:$C208,$D$3:$D208,O$2)))</f>
        <v>-</v>
      </c>
      <c r="P208" s="2" t="str">
        <f>IF(P$1&gt;$Z$4,"-",IF(COUNTIF($D$3:$D208,P$2)=$Z$3,"Full",SUMIFS($C$3:$C208,$D$3:$D208,P$2)))</f>
        <v>-</v>
      </c>
      <c r="Q208" s="2" t="str">
        <f>IF(Q$1&gt;$Z$4,"-",IF(COUNTIF($D$3:$D208,Q$2)=$Z$3,"Full",SUMIFS($C$3:$C208,$D$3:$D208,Q$2)))</f>
        <v>-</v>
      </c>
      <c r="R208" s="2" t="str">
        <f>IF(R$1&gt;$Z$4,"-",IF(COUNTIF($D$3:$D208,R$2)=$Z$3,"Full",SUMIFS($C$3:$C208,$D$3:$D208,R$2)))</f>
        <v>-</v>
      </c>
      <c r="S208" s="2" t="str">
        <f>IF(S$1&gt;$Z$4,"-",IF(COUNTIF($D$3:$D208,S$2)=$Z$3,"Full",SUMIFS($C$3:$C208,$D$3:$D208,S$2)))</f>
        <v>-</v>
      </c>
      <c r="T208" s="11" t="str">
        <f>IF(T$1&gt;$Z$4,"-",IF(COUNTIF($D$3:$D208,T$2)=$Z$3,"Full",SUMIFS($C$3:$C208,$D$3:$D208,T$2)))</f>
        <v>-</v>
      </c>
    </row>
    <row r="209" spans="1:20" x14ac:dyDescent="0.25">
      <c r="A209" s="10" t="str">
        <f t="shared" si="156"/>
        <v/>
      </c>
      <c r="D209" s="2" t="str" cm="1">
        <f t="array" aca="1" ref="D209" ca="1">IFERROR(_xlfn.XLOOKUP(MIN(E208:INDIRECT($AA$4&amp;A209+1)),E208:INDIRECT($AA$4&amp;A209+1),$E$2:INDIRECT($AA$4&amp;"$2")),"-")</f>
        <v>-</v>
      </c>
      <c r="E209" s="2" t="str">
        <f ca="1">IF(E$1&gt;$Z$4,"-",IF(COUNTIF($D$3:$D209,E$2)=$Z$3,"Full",SUMIFS($C$3:$C209,$D$3:$D209,E$2)))</f>
        <v>Full</v>
      </c>
      <c r="F209" s="2" t="str">
        <f>IF(F$1&gt;$Z$4,"-",IF(COUNTIF($D$3:$D209,F$2)=$Z$3,"Full",SUMIFS($C$3:$C209,$D$3:$D209,F$2)))</f>
        <v>-</v>
      </c>
      <c r="G209" s="2" t="str">
        <f>IF(G$1&gt;$Z$4,"-",IF(COUNTIF($D$3:$D209,G$2)=$Z$3,"Full",SUMIFS($C$3:$C209,$D$3:$D209,G$2)))</f>
        <v>-</v>
      </c>
      <c r="H209" s="2" t="str">
        <f>IF(H$1&gt;$Z$4,"-",IF(COUNTIF($D$3:$D209,H$2)=$Z$3,"Full",SUMIFS($C$3:$C209,$D$3:$D209,H$2)))</f>
        <v>-</v>
      </c>
      <c r="I209" s="2" t="str">
        <f>IF(I$1&gt;$Z$4,"-",IF(COUNTIF($D$3:$D209,I$2)=$Z$3,"Full",SUMIFS($C$3:$C209,$D$3:$D209,I$2)))</f>
        <v>-</v>
      </c>
      <c r="J209" s="2" t="str">
        <f>IF(J$1&gt;$Z$4,"-",IF(COUNTIF($D$3:$D209,J$2)=$Z$3,"Full",SUMIFS($C$3:$C209,$D$3:$D209,J$2)))</f>
        <v>-</v>
      </c>
      <c r="K209" s="2" t="str">
        <f>IF(K$1&gt;$Z$4,"-",IF(COUNTIF($D$3:$D209,K$2)=$Z$3,"Full",SUMIFS($C$3:$C209,$D$3:$D209,K$2)))</f>
        <v>-</v>
      </c>
      <c r="L209" s="2" t="str">
        <f>IF(L$1&gt;$Z$4,"-",IF(COUNTIF($D$3:$D209,L$2)=$Z$3,"Full",SUMIFS($C$3:$C209,$D$3:$D209,L$2)))</f>
        <v>-</v>
      </c>
      <c r="M209" s="2" t="str">
        <f>IF(M$1&gt;$Z$4,"-",IF(COUNTIF($D$3:$D209,M$2)=$Z$3,"Full",SUMIFS($C$3:$C209,$D$3:$D209,M$2)))</f>
        <v>-</v>
      </c>
      <c r="N209" s="2" t="str">
        <f>IF(N$1&gt;$Z$4,"-",IF(COUNTIF($D$3:$D209,N$2)=$Z$3,"Full",SUMIFS($C$3:$C209,$D$3:$D209,N$2)))</f>
        <v>-</v>
      </c>
      <c r="O209" s="2" t="str">
        <f>IF(O$1&gt;$Z$4,"-",IF(COUNTIF($D$3:$D209,O$2)=$Z$3,"Full",SUMIFS($C$3:$C209,$D$3:$D209,O$2)))</f>
        <v>-</v>
      </c>
      <c r="P209" s="2" t="str">
        <f>IF(P$1&gt;$Z$4,"-",IF(COUNTIF($D$3:$D209,P$2)=$Z$3,"Full",SUMIFS($C$3:$C209,$D$3:$D209,P$2)))</f>
        <v>-</v>
      </c>
      <c r="Q209" s="2" t="str">
        <f>IF(Q$1&gt;$Z$4,"-",IF(COUNTIF($D$3:$D209,Q$2)=$Z$3,"Full",SUMIFS($C$3:$C209,$D$3:$D209,Q$2)))</f>
        <v>-</v>
      </c>
      <c r="R209" s="2" t="str">
        <f>IF(R$1&gt;$Z$4,"-",IF(COUNTIF($D$3:$D209,R$2)=$Z$3,"Full",SUMIFS($C$3:$C209,$D$3:$D209,R$2)))</f>
        <v>-</v>
      </c>
      <c r="S209" s="2" t="str">
        <f>IF(S$1&gt;$Z$4,"-",IF(COUNTIF($D$3:$D209,S$2)=$Z$3,"Full",SUMIFS($C$3:$C209,$D$3:$D209,S$2)))</f>
        <v>-</v>
      </c>
      <c r="T209" s="11" t="str">
        <f>IF(T$1&gt;$Z$4,"-",IF(COUNTIF($D$3:$D209,T$2)=$Z$3,"Full",SUMIFS($C$3:$C209,$D$3:$D209,T$2)))</f>
        <v>-</v>
      </c>
    </row>
    <row r="210" spans="1:20" x14ac:dyDescent="0.25">
      <c r="A210" s="10" t="str">
        <f t="shared" si="156"/>
        <v/>
      </c>
      <c r="D210" s="2" t="str" cm="1">
        <f t="array" aca="1" ref="D210" ca="1">IFERROR(_xlfn.XLOOKUP(MIN(E209:INDIRECT($AA$4&amp;A210+1)),E209:INDIRECT($AA$4&amp;A210+1),$E$2:INDIRECT($AA$4&amp;"$2")),"-")</f>
        <v>-</v>
      </c>
      <c r="E210" s="2" t="str">
        <f ca="1">IF(E$1&gt;$Z$4,"-",IF(COUNTIF($D$3:$D210,E$2)=$Z$3,"Full",SUMIFS($C$3:$C210,$D$3:$D210,E$2)))</f>
        <v>Full</v>
      </c>
      <c r="F210" s="2" t="str">
        <f>IF(F$1&gt;$Z$4,"-",IF(COUNTIF($D$3:$D210,F$2)=$Z$3,"Full",SUMIFS($C$3:$C210,$D$3:$D210,F$2)))</f>
        <v>-</v>
      </c>
      <c r="G210" s="2" t="str">
        <f>IF(G$1&gt;$Z$4,"-",IF(COUNTIF($D$3:$D210,G$2)=$Z$3,"Full",SUMIFS($C$3:$C210,$D$3:$D210,G$2)))</f>
        <v>-</v>
      </c>
      <c r="H210" s="2" t="str">
        <f>IF(H$1&gt;$Z$4,"-",IF(COUNTIF($D$3:$D210,H$2)=$Z$3,"Full",SUMIFS($C$3:$C210,$D$3:$D210,H$2)))</f>
        <v>-</v>
      </c>
      <c r="I210" s="2" t="str">
        <f>IF(I$1&gt;$Z$4,"-",IF(COUNTIF($D$3:$D210,I$2)=$Z$3,"Full",SUMIFS($C$3:$C210,$D$3:$D210,I$2)))</f>
        <v>-</v>
      </c>
      <c r="J210" s="2" t="str">
        <f>IF(J$1&gt;$Z$4,"-",IF(COUNTIF($D$3:$D210,J$2)=$Z$3,"Full",SUMIFS($C$3:$C210,$D$3:$D210,J$2)))</f>
        <v>-</v>
      </c>
      <c r="K210" s="2" t="str">
        <f>IF(K$1&gt;$Z$4,"-",IF(COUNTIF($D$3:$D210,K$2)=$Z$3,"Full",SUMIFS($C$3:$C210,$D$3:$D210,K$2)))</f>
        <v>-</v>
      </c>
      <c r="L210" s="2" t="str">
        <f>IF(L$1&gt;$Z$4,"-",IF(COUNTIF($D$3:$D210,L$2)=$Z$3,"Full",SUMIFS($C$3:$C210,$D$3:$D210,L$2)))</f>
        <v>-</v>
      </c>
      <c r="M210" s="2" t="str">
        <f>IF(M$1&gt;$Z$4,"-",IF(COUNTIF($D$3:$D210,M$2)=$Z$3,"Full",SUMIFS($C$3:$C210,$D$3:$D210,M$2)))</f>
        <v>-</v>
      </c>
      <c r="N210" s="2" t="str">
        <f>IF(N$1&gt;$Z$4,"-",IF(COUNTIF($D$3:$D210,N$2)=$Z$3,"Full",SUMIFS($C$3:$C210,$D$3:$D210,N$2)))</f>
        <v>-</v>
      </c>
      <c r="O210" s="2" t="str">
        <f>IF(O$1&gt;$Z$4,"-",IF(COUNTIF($D$3:$D210,O$2)=$Z$3,"Full",SUMIFS($C$3:$C210,$D$3:$D210,O$2)))</f>
        <v>-</v>
      </c>
      <c r="P210" s="2" t="str">
        <f>IF(P$1&gt;$Z$4,"-",IF(COUNTIF($D$3:$D210,P$2)=$Z$3,"Full",SUMIFS($C$3:$C210,$D$3:$D210,P$2)))</f>
        <v>-</v>
      </c>
      <c r="Q210" s="2" t="str">
        <f>IF(Q$1&gt;$Z$4,"-",IF(COUNTIF($D$3:$D210,Q$2)=$Z$3,"Full",SUMIFS($C$3:$C210,$D$3:$D210,Q$2)))</f>
        <v>-</v>
      </c>
      <c r="R210" s="2" t="str">
        <f>IF(R$1&gt;$Z$4,"-",IF(COUNTIF($D$3:$D210,R$2)=$Z$3,"Full",SUMIFS($C$3:$C210,$D$3:$D210,R$2)))</f>
        <v>-</v>
      </c>
      <c r="S210" s="2" t="str">
        <f>IF(S$1&gt;$Z$4,"-",IF(COUNTIF($D$3:$D210,S$2)=$Z$3,"Full",SUMIFS($C$3:$C210,$D$3:$D210,S$2)))</f>
        <v>-</v>
      </c>
      <c r="T210" s="11" t="str">
        <f>IF(T$1&gt;$Z$4,"-",IF(COUNTIF($D$3:$D210,T$2)=$Z$3,"Full",SUMIFS($C$3:$C210,$D$3:$D210,T$2)))</f>
        <v>-</v>
      </c>
    </row>
    <row r="211" spans="1:20" x14ac:dyDescent="0.25">
      <c r="A211" s="10" t="str">
        <f t="shared" si="156"/>
        <v/>
      </c>
      <c r="D211" s="2" t="str" cm="1">
        <f t="array" aca="1" ref="D211" ca="1">IFERROR(_xlfn.XLOOKUP(MIN(E210:INDIRECT($AA$4&amp;A211+1)),E210:INDIRECT($AA$4&amp;A211+1),$E$2:INDIRECT($AA$4&amp;"$2")),"-")</f>
        <v>-</v>
      </c>
      <c r="E211" s="2" t="str">
        <f ca="1">IF(E$1&gt;$Z$4,"-",IF(COUNTIF($D$3:$D211,E$2)=$Z$3,"Full",SUMIFS($C$3:$C211,$D$3:$D211,E$2)))</f>
        <v>Full</v>
      </c>
      <c r="F211" s="2" t="str">
        <f>IF(F$1&gt;$Z$4,"-",IF(COUNTIF($D$3:$D211,F$2)=$Z$3,"Full",SUMIFS($C$3:$C211,$D$3:$D211,F$2)))</f>
        <v>-</v>
      </c>
      <c r="G211" s="2" t="str">
        <f>IF(G$1&gt;$Z$4,"-",IF(COUNTIF($D$3:$D211,G$2)=$Z$3,"Full",SUMIFS($C$3:$C211,$D$3:$D211,G$2)))</f>
        <v>-</v>
      </c>
      <c r="H211" s="2" t="str">
        <f>IF(H$1&gt;$Z$4,"-",IF(COUNTIF($D$3:$D211,H$2)=$Z$3,"Full",SUMIFS($C$3:$C211,$D$3:$D211,H$2)))</f>
        <v>-</v>
      </c>
      <c r="I211" s="2" t="str">
        <f>IF(I$1&gt;$Z$4,"-",IF(COUNTIF($D$3:$D211,I$2)=$Z$3,"Full",SUMIFS($C$3:$C211,$D$3:$D211,I$2)))</f>
        <v>-</v>
      </c>
      <c r="J211" s="2" t="str">
        <f>IF(J$1&gt;$Z$4,"-",IF(COUNTIF($D$3:$D211,J$2)=$Z$3,"Full",SUMIFS($C$3:$C211,$D$3:$D211,J$2)))</f>
        <v>-</v>
      </c>
      <c r="K211" s="2" t="str">
        <f>IF(K$1&gt;$Z$4,"-",IF(COUNTIF($D$3:$D211,K$2)=$Z$3,"Full",SUMIFS($C$3:$C211,$D$3:$D211,K$2)))</f>
        <v>-</v>
      </c>
      <c r="L211" s="2" t="str">
        <f>IF(L$1&gt;$Z$4,"-",IF(COUNTIF($D$3:$D211,L$2)=$Z$3,"Full",SUMIFS($C$3:$C211,$D$3:$D211,L$2)))</f>
        <v>-</v>
      </c>
      <c r="M211" s="2" t="str">
        <f>IF(M$1&gt;$Z$4,"-",IF(COUNTIF($D$3:$D211,M$2)=$Z$3,"Full",SUMIFS($C$3:$C211,$D$3:$D211,M$2)))</f>
        <v>-</v>
      </c>
      <c r="N211" s="2" t="str">
        <f>IF(N$1&gt;$Z$4,"-",IF(COUNTIF($D$3:$D211,N$2)=$Z$3,"Full",SUMIFS($C$3:$C211,$D$3:$D211,N$2)))</f>
        <v>-</v>
      </c>
      <c r="O211" s="2" t="str">
        <f>IF(O$1&gt;$Z$4,"-",IF(COUNTIF($D$3:$D211,O$2)=$Z$3,"Full",SUMIFS($C$3:$C211,$D$3:$D211,O$2)))</f>
        <v>-</v>
      </c>
      <c r="P211" s="2" t="str">
        <f>IF(P$1&gt;$Z$4,"-",IF(COUNTIF($D$3:$D211,P$2)=$Z$3,"Full",SUMIFS($C$3:$C211,$D$3:$D211,P$2)))</f>
        <v>-</v>
      </c>
      <c r="Q211" s="2" t="str">
        <f>IF(Q$1&gt;$Z$4,"-",IF(COUNTIF($D$3:$D211,Q$2)=$Z$3,"Full",SUMIFS($C$3:$C211,$D$3:$D211,Q$2)))</f>
        <v>-</v>
      </c>
      <c r="R211" s="2" t="str">
        <f>IF(R$1&gt;$Z$4,"-",IF(COUNTIF($D$3:$D211,R$2)=$Z$3,"Full",SUMIFS($C$3:$C211,$D$3:$D211,R$2)))</f>
        <v>-</v>
      </c>
      <c r="S211" s="2" t="str">
        <f>IF(S$1&gt;$Z$4,"-",IF(COUNTIF($D$3:$D211,S$2)=$Z$3,"Full",SUMIFS($C$3:$C211,$D$3:$D211,S$2)))</f>
        <v>-</v>
      </c>
      <c r="T211" s="11" t="str">
        <f>IF(T$1&gt;$Z$4,"-",IF(COUNTIF($D$3:$D211,T$2)=$Z$3,"Full",SUMIFS($C$3:$C211,$D$3:$D211,T$2)))</f>
        <v>-</v>
      </c>
    </row>
    <row r="212" spans="1:20" x14ac:dyDescent="0.25">
      <c r="A212" s="10" t="str">
        <f t="shared" si="156"/>
        <v/>
      </c>
      <c r="D212" s="2" t="str" cm="1">
        <f t="array" aca="1" ref="D212" ca="1">IFERROR(_xlfn.XLOOKUP(MIN(E211:INDIRECT($AA$4&amp;A212+1)),E211:INDIRECT($AA$4&amp;A212+1),$E$2:INDIRECT($AA$4&amp;"$2")),"-")</f>
        <v>-</v>
      </c>
      <c r="E212" s="2" t="str">
        <f ca="1">IF(E$1&gt;$Z$4,"-",IF(COUNTIF($D$3:$D212,E$2)=$Z$3,"Full",SUMIFS($C$3:$C212,$D$3:$D212,E$2)))</f>
        <v>Full</v>
      </c>
      <c r="F212" s="2" t="str">
        <f>IF(F$1&gt;$Z$4,"-",IF(COUNTIF($D$3:$D212,F$2)=$Z$3,"Full",SUMIFS($C$3:$C212,$D$3:$D212,F$2)))</f>
        <v>-</v>
      </c>
      <c r="G212" s="2" t="str">
        <f>IF(G$1&gt;$Z$4,"-",IF(COUNTIF($D$3:$D212,G$2)=$Z$3,"Full",SUMIFS($C$3:$C212,$D$3:$D212,G$2)))</f>
        <v>-</v>
      </c>
      <c r="H212" s="2" t="str">
        <f>IF(H$1&gt;$Z$4,"-",IF(COUNTIF($D$3:$D212,H$2)=$Z$3,"Full",SUMIFS($C$3:$C212,$D$3:$D212,H$2)))</f>
        <v>-</v>
      </c>
      <c r="I212" s="2" t="str">
        <f>IF(I$1&gt;$Z$4,"-",IF(COUNTIF($D$3:$D212,I$2)=$Z$3,"Full",SUMIFS($C$3:$C212,$D$3:$D212,I$2)))</f>
        <v>-</v>
      </c>
      <c r="J212" s="2" t="str">
        <f>IF(J$1&gt;$Z$4,"-",IF(COUNTIF($D$3:$D212,J$2)=$Z$3,"Full",SUMIFS($C$3:$C212,$D$3:$D212,J$2)))</f>
        <v>-</v>
      </c>
      <c r="K212" s="2" t="str">
        <f>IF(K$1&gt;$Z$4,"-",IF(COUNTIF($D$3:$D212,K$2)=$Z$3,"Full",SUMIFS($C$3:$C212,$D$3:$D212,K$2)))</f>
        <v>-</v>
      </c>
      <c r="L212" s="2" t="str">
        <f>IF(L$1&gt;$Z$4,"-",IF(COUNTIF($D$3:$D212,L$2)=$Z$3,"Full",SUMIFS($C$3:$C212,$D$3:$D212,L$2)))</f>
        <v>-</v>
      </c>
      <c r="M212" s="2" t="str">
        <f>IF(M$1&gt;$Z$4,"-",IF(COUNTIF($D$3:$D212,M$2)=$Z$3,"Full",SUMIFS($C$3:$C212,$D$3:$D212,M$2)))</f>
        <v>-</v>
      </c>
      <c r="N212" s="2" t="str">
        <f>IF(N$1&gt;$Z$4,"-",IF(COUNTIF($D$3:$D212,N$2)=$Z$3,"Full",SUMIFS($C$3:$C212,$D$3:$D212,N$2)))</f>
        <v>-</v>
      </c>
      <c r="O212" s="2" t="str">
        <f>IF(O$1&gt;$Z$4,"-",IF(COUNTIF($D$3:$D212,O$2)=$Z$3,"Full",SUMIFS($C$3:$C212,$D$3:$D212,O$2)))</f>
        <v>-</v>
      </c>
      <c r="P212" s="2" t="str">
        <f>IF(P$1&gt;$Z$4,"-",IF(COUNTIF($D$3:$D212,P$2)=$Z$3,"Full",SUMIFS($C$3:$C212,$D$3:$D212,P$2)))</f>
        <v>-</v>
      </c>
      <c r="Q212" s="2" t="str">
        <f>IF(Q$1&gt;$Z$4,"-",IF(COUNTIF($D$3:$D212,Q$2)=$Z$3,"Full",SUMIFS($C$3:$C212,$D$3:$D212,Q$2)))</f>
        <v>-</v>
      </c>
      <c r="R212" s="2" t="str">
        <f>IF(R$1&gt;$Z$4,"-",IF(COUNTIF($D$3:$D212,R$2)=$Z$3,"Full",SUMIFS($C$3:$C212,$D$3:$D212,R$2)))</f>
        <v>-</v>
      </c>
      <c r="S212" s="2" t="str">
        <f>IF(S$1&gt;$Z$4,"-",IF(COUNTIF($D$3:$D212,S$2)=$Z$3,"Full",SUMIFS($C$3:$C212,$D$3:$D212,S$2)))</f>
        <v>-</v>
      </c>
      <c r="T212" s="11" t="str">
        <f>IF(T$1&gt;$Z$4,"-",IF(COUNTIF($D$3:$D212,T$2)=$Z$3,"Full",SUMIFS($C$3:$C212,$D$3:$D212,T$2)))</f>
        <v>-</v>
      </c>
    </row>
    <row r="213" spans="1:20" x14ac:dyDescent="0.25">
      <c r="A213" s="10" t="str">
        <f t="shared" si="156"/>
        <v/>
      </c>
      <c r="D213" s="2" t="str" cm="1">
        <f t="array" aca="1" ref="D213" ca="1">IFERROR(_xlfn.XLOOKUP(MIN(E212:INDIRECT($AA$4&amp;A213+1)),E212:INDIRECT($AA$4&amp;A213+1),$E$2:INDIRECT($AA$4&amp;"$2")),"-")</f>
        <v>-</v>
      </c>
      <c r="E213" s="2" t="str">
        <f ca="1">IF(E$1&gt;$Z$4,"-",IF(COUNTIF($D$3:$D213,E$2)=$Z$3,"Full",SUMIFS($C$3:$C213,$D$3:$D213,E$2)))</f>
        <v>Full</v>
      </c>
      <c r="F213" s="2" t="str">
        <f>IF(F$1&gt;$Z$4,"-",IF(COUNTIF($D$3:$D213,F$2)=$Z$3,"Full",SUMIFS($C$3:$C213,$D$3:$D213,F$2)))</f>
        <v>-</v>
      </c>
      <c r="G213" s="2" t="str">
        <f>IF(G$1&gt;$Z$4,"-",IF(COUNTIF($D$3:$D213,G$2)=$Z$3,"Full",SUMIFS($C$3:$C213,$D$3:$D213,G$2)))</f>
        <v>-</v>
      </c>
      <c r="H213" s="2" t="str">
        <f>IF(H$1&gt;$Z$4,"-",IF(COUNTIF($D$3:$D213,H$2)=$Z$3,"Full",SUMIFS($C$3:$C213,$D$3:$D213,H$2)))</f>
        <v>-</v>
      </c>
      <c r="I213" s="2" t="str">
        <f>IF(I$1&gt;$Z$4,"-",IF(COUNTIF($D$3:$D213,I$2)=$Z$3,"Full",SUMIFS($C$3:$C213,$D$3:$D213,I$2)))</f>
        <v>-</v>
      </c>
      <c r="J213" s="2" t="str">
        <f>IF(J$1&gt;$Z$4,"-",IF(COUNTIF($D$3:$D213,J$2)=$Z$3,"Full",SUMIFS($C$3:$C213,$D$3:$D213,J$2)))</f>
        <v>-</v>
      </c>
      <c r="K213" s="2" t="str">
        <f>IF(K$1&gt;$Z$4,"-",IF(COUNTIF($D$3:$D213,K$2)=$Z$3,"Full",SUMIFS($C$3:$C213,$D$3:$D213,K$2)))</f>
        <v>-</v>
      </c>
      <c r="L213" s="2" t="str">
        <f>IF(L$1&gt;$Z$4,"-",IF(COUNTIF($D$3:$D213,L$2)=$Z$3,"Full",SUMIFS($C$3:$C213,$D$3:$D213,L$2)))</f>
        <v>-</v>
      </c>
      <c r="M213" s="2" t="str">
        <f>IF(M$1&gt;$Z$4,"-",IF(COUNTIF($D$3:$D213,M$2)=$Z$3,"Full",SUMIFS($C$3:$C213,$D$3:$D213,M$2)))</f>
        <v>-</v>
      </c>
      <c r="N213" s="2" t="str">
        <f>IF(N$1&gt;$Z$4,"-",IF(COUNTIF($D$3:$D213,N$2)=$Z$3,"Full",SUMIFS($C$3:$C213,$D$3:$D213,N$2)))</f>
        <v>-</v>
      </c>
      <c r="O213" s="2" t="str">
        <f>IF(O$1&gt;$Z$4,"-",IF(COUNTIF($D$3:$D213,O$2)=$Z$3,"Full",SUMIFS($C$3:$C213,$D$3:$D213,O$2)))</f>
        <v>-</v>
      </c>
      <c r="P213" s="2" t="str">
        <f>IF(P$1&gt;$Z$4,"-",IF(COUNTIF($D$3:$D213,P$2)=$Z$3,"Full",SUMIFS($C$3:$C213,$D$3:$D213,P$2)))</f>
        <v>-</v>
      </c>
      <c r="Q213" s="2" t="str">
        <f>IF(Q$1&gt;$Z$4,"-",IF(COUNTIF($D$3:$D213,Q$2)=$Z$3,"Full",SUMIFS($C$3:$C213,$D$3:$D213,Q$2)))</f>
        <v>-</v>
      </c>
      <c r="R213" s="2" t="str">
        <f>IF(R$1&gt;$Z$4,"-",IF(COUNTIF($D$3:$D213,R$2)=$Z$3,"Full",SUMIFS($C$3:$C213,$D$3:$D213,R$2)))</f>
        <v>-</v>
      </c>
      <c r="S213" s="2" t="str">
        <f>IF(S$1&gt;$Z$4,"-",IF(COUNTIF($D$3:$D213,S$2)=$Z$3,"Full",SUMIFS($C$3:$C213,$D$3:$D213,S$2)))</f>
        <v>-</v>
      </c>
      <c r="T213" s="11" t="str">
        <f>IF(T$1&gt;$Z$4,"-",IF(COUNTIF($D$3:$D213,T$2)=$Z$3,"Full",SUMIFS($C$3:$C213,$D$3:$D213,T$2)))</f>
        <v>-</v>
      </c>
    </row>
    <row r="214" spans="1:20" x14ac:dyDescent="0.25">
      <c r="A214" s="10" t="str">
        <f t="shared" si="156"/>
        <v/>
      </c>
      <c r="D214" s="2" t="str" cm="1">
        <f t="array" aca="1" ref="D214" ca="1">IFERROR(_xlfn.XLOOKUP(MIN(E213:INDIRECT($AA$4&amp;A214+1)),E213:INDIRECT($AA$4&amp;A214+1),$E$2:INDIRECT($AA$4&amp;"$2")),"-")</f>
        <v>-</v>
      </c>
      <c r="E214" s="2" t="str">
        <f ca="1">IF(E$1&gt;$Z$4,"-",IF(COUNTIF($D$3:$D214,E$2)=$Z$3,"Full",SUMIFS($C$3:$C214,$D$3:$D214,E$2)))</f>
        <v>Full</v>
      </c>
      <c r="F214" s="2" t="str">
        <f>IF(F$1&gt;$Z$4,"-",IF(COUNTIF($D$3:$D214,F$2)=$Z$3,"Full",SUMIFS($C$3:$C214,$D$3:$D214,F$2)))</f>
        <v>-</v>
      </c>
      <c r="G214" s="2" t="str">
        <f>IF(G$1&gt;$Z$4,"-",IF(COUNTIF($D$3:$D214,G$2)=$Z$3,"Full",SUMIFS($C$3:$C214,$D$3:$D214,G$2)))</f>
        <v>-</v>
      </c>
      <c r="H214" s="2" t="str">
        <f>IF(H$1&gt;$Z$4,"-",IF(COUNTIF($D$3:$D214,H$2)=$Z$3,"Full",SUMIFS($C$3:$C214,$D$3:$D214,H$2)))</f>
        <v>-</v>
      </c>
      <c r="I214" s="2" t="str">
        <f>IF(I$1&gt;$Z$4,"-",IF(COUNTIF($D$3:$D214,I$2)=$Z$3,"Full",SUMIFS($C$3:$C214,$D$3:$D214,I$2)))</f>
        <v>-</v>
      </c>
      <c r="J214" s="2" t="str">
        <f>IF(J$1&gt;$Z$4,"-",IF(COUNTIF($D$3:$D214,J$2)=$Z$3,"Full",SUMIFS($C$3:$C214,$D$3:$D214,J$2)))</f>
        <v>-</v>
      </c>
      <c r="K214" s="2" t="str">
        <f>IF(K$1&gt;$Z$4,"-",IF(COUNTIF($D$3:$D214,K$2)=$Z$3,"Full",SUMIFS($C$3:$C214,$D$3:$D214,K$2)))</f>
        <v>-</v>
      </c>
      <c r="L214" s="2" t="str">
        <f>IF(L$1&gt;$Z$4,"-",IF(COUNTIF($D$3:$D214,L$2)=$Z$3,"Full",SUMIFS($C$3:$C214,$D$3:$D214,L$2)))</f>
        <v>-</v>
      </c>
      <c r="M214" s="2" t="str">
        <f>IF(M$1&gt;$Z$4,"-",IF(COUNTIF($D$3:$D214,M$2)=$Z$3,"Full",SUMIFS($C$3:$C214,$D$3:$D214,M$2)))</f>
        <v>-</v>
      </c>
      <c r="N214" s="2" t="str">
        <f>IF(N$1&gt;$Z$4,"-",IF(COUNTIF($D$3:$D214,N$2)=$Z$3,"Full",SUMIFS($C$3:$C214,$D$3:$D214,N$2)))</f>
        <v>-</v>
      </c>
      <c r="O214" s="2" t="str">
        <f>IF(O$1&gt;$Z$4,"-",IF(COUNTIF($D$3:$D214,O$2)=$Z$3,"Full",SUMIFS($C$3:$C214,$D$3:$D214,O$2)))</f>
        <v>-</v>
      </c>
      <c r="P214" s="2" t="str">
        <f>IF(P$1&gt;$Z$4,"-",IF(COUNTIF($D$3:$D214,P$2)=$Z$3,"Full",SUMIFS($C$3:$C214,$D$3:$D214,P$2)))</f>
        <v>-</v>
      </c>
      <c r="Q214" s="2" t="str">
        <f>IF(Q$1&gt;$Z$4,"-",IF(COUNTIF($D$3:$D214,Q$2)=$Z$3,"Full",SUMIFS($C$3:$C214,$D$3:$D214,Q$2)))</f>
        <v>-</v>
      </c>
      <c r="R214" s="2" t="str">
        <f>IF(R$1&gt;$Z$4,"-",IF(COUNTIF($D$3:$D214,R$2)=$Z$3,"Full",SUMIFS($C$3:$C214,$D$3:$D214,R$2)))</f>
        <v>-</v>
      </c>
      <c r="S214" s="2" t="str">
        <f>IF(S$1&gt;$Z$4,"-",IF(COUNTIF($D$3:$D214,S$2)=$Z$3,"Full",SUMIFS($C$3:$C214,$D$3:$D214,S$2)))</f>
        <v>-</v>
      </c>
      <c r="T214" s="11" t="str">
        <f>IF(T$1&gt;$Z$4,"-",IF(COUNTIF($D$3:$D214,T$2)=$Z$3,"Full",SUMIFS($C$3:$C214,$D$3:$D214,T$2)))</f>
        <v>-</v>
      </c>
    </row>
    <row r="215" spans="1:20" x14ac:dyDescent="0.25">
      <c r="A215" s="10" t="str">
        <f t="shared" si="156"/>
        <v/>
      </c>
      <c r="D215" s="2" t="str" cm="1">
        <f t="array" aca="1" ref="D215" ca="1">IFERROR(_xlfn.XLOOKUP(MIN(E214:INDIRECT($AA$4&amp;A215+1)),E214:INDIRECT($AA$4&amp;A215+1),$E$2:INDIRECT($AA$4&amp;"$2")),"-")</f>
        <v>-</v>
      </c>
      <c r="E215" s="2" t="str">
        <f ca="1">IF(E$1&gt;$Z$4,"-",IF(COUNTIF($D$3:$D215,E$2)=$Z$3,"Full",SUMIFS($C$3:$C215,$D$3:$D215,E$2)))</f>
        <v>Full</v>
      </c>
      <c r="F215" s="2" t="str">
        <f>IF(F$1&gt;$Z$4,"-",IF(COUNTIF($D$3:$D215,F$2)=$Z$3,"Full",SUMIFS($C$3:$C215,$D$3:$D215,F$2)))</f>
        <v>-</v>
      </c>
      <c r="G215" s="2" t="str">
        <f>IF(G$1&gt;$Z$4,"-",IF(COUNTIF($D$3:$D215,G$2)=$Z$3,"Full",SUMIFS($C$3:$C215,$D$3:$D215,G$2)))</f>
        <v>-</v>
      </c>
      <c r="H215" s="2" t="str">
        <f>IF(H$1&gt;$Z$4,"-",IF(COUNTIF($D$3:$D215,H$2)=$Z$3,"Full",SUMIFS($C$3:$C215,$D$3:$D215,H$2)))</f>
        <v>-</v>
      </c>
      <c r="I215" s="2" t="str">
        <f>IF(I$1&gt;$Z$4,"-",IF(COUNTIF($D$3:$D215,I$2)=$Z$3,"Full",SUMIFS($C$3:$C215,$D$3:$D215,I$2)))</f>
        <v>-</v>
      </c>
      <c r="J215" s="2" t="str">
        <f>IF(J$1&gt;$Z$4,"-",IF(COUNTIF($D$3:$D215,J$2)=$Z$3,"Full",SUMIFS($C$3:$C215,$D$3:$D215,J$2)))</f>
        <v>-</v>
      </c>
      <c r="K215" s="2" t="str">
        <f>IF(K$1&gt;$Z$4,"-",IF(COUNTIF($D$3:$D215,K$2)=$Z$3,"Full",SUMIFS($C$3:$C215,$D$3:$D215,K$2)))</f>
        <v>-</v>
      </c>
      <c r="L215" s="2" t="str">
        <f>IF(L$1&gt;$Z$4,"-",IF(COUNTIF($D$3:$D215,L$2)=$Z$3,"Full",SUMIFS($C$3:$C215,$D$3:$D215,L$2)))</f>
        <v>-</v>
      </c>
      <c r="M215" s="2" t="str">
        <f>IF(M$1&gt;$Z$4,"-",IF(COUNTIF($D$3:$D215,M$2)=$Z$3,"Full",SUMIFS($C$3:$C215,$D$3:$D215,M$2)))</f>
        <v>-</v>
      </c>
      <c r="N215" s="2" t="str">
        <f>IF(N$1&gt;$Z$4,"-",IF(COUNTIF($D$3:$D215,N$2)=$Z$3,"Full",SUMIFS($C$3:$C215,$D$3:$D215,N$2)))</f>
        <v>-</v>
      </c>
      <c r="O215" s="2" t="str">
        <f>IF(O$1&gt;$Z$4,"-",IF(COUNTIF($D$3:$D215,O$2)=$Z$3,"Full",SUMIFS($C$3:$C215,$D$3:$D215,O$2)))</f>
        <v>-</v>
      </c>
      <c r="P215" s="2" t="str">
        <f>IF(P$1&gt;$Z$4,"-",IF(COUNTIF($D$3:$D215,P$2)=$Z$3,"Full",SUMIFS($C$3:$C215,$D$3:$D215,P$2)))</f>
        <v>-</v>
      </c>
      <c r="Q215" s="2" t="str">
        <f>IF(Q$1&gt;$Z$4,"-",IF(COUNTIF($D$3:$D215,Q$2)=$Z$3,"Full",SUMIFS($C$3:$C215,$D$3:$D215,Q$2)))</f>
        <v>-</v>
      </c>
      <c r="R215" s="2" t="str">
        <f>IF(R$1&gt;$Z$4,"-",IF(COUNTIF($D$3:$D215,R$2)=$Z$3,"Full",SUMIFS($C$3:$C215,$D$3:$D215,R$2)))</f>
        <v>-</v>
      </c>
      <c r="S215" s="2" t="str">
        <f>IF(S$1&gt;$Z$4,"-",IF(COUNTIF($D$3:$D215,S$2)=$Z$3,"Full",SUMIFS($C$3:$C215,$D$3:$D215,S$2)))</f>
        <v>-</v>
      </c>
      <c r="T215" s="11" t="str">
        <f>IF(T$1&gt;$Z$4,"-",IF(COUNTIF($D$3:$D215,T$2)=$Z$3,"Full",SUMIFS($C$3:$C215,$D$3:$D215,T$2)))</f>
        <v>-</v>
      </c>
    </row>
    <row r="216" spans="1:20" x14ac:dyDescent="0.25">
      <c r="A216" s="10" t="str">
        <f t="shared" si="156"/>
        <v/>
      </c>
      <c r="D216" s="2" t="str" cm="1">
        <f t="array" aca="1" ref="D216" ca="1">IFERROR(_xlfn.XLOOKUP(MIN(E215:INDIRECT($AA$4&amp;A216+1)),E215:INDIRECT($AA$4&amp;A216+1),$E$2:INDIRECT($AA$4&amp;"$2")),"-")</f>
        <v>-</v>
      </c>
      <c r="E216" s="2" t="str">
        <f ca="1">IF(E$1&gt;$Z$4,"-",IF(COUNTIF($D$3:$D216,E$2)=$Z$3,"Full",SUMIFS($C$3:$C216,$D$3:$D216,E$2)))</f>
        <v>Full</v>
      </c>
      <c r="F216" s="2" t="str">
        <f>IF(F$1&gt;$Z$4,"-",IF(COUNTIF($D$3:$D216,F$2)=$Z$3,"Full",SUMIFS($C$3:$C216,$D$3:$D216,F$2)))</f>
        <v>-</v>
      </c>
      <c r="G216" s="2" t="str">
        <f>IF(G$1&gt;$Z$4,"-",IF(COUNTIF($D$3:$D216,G$2)=$Z$3,"Full",SUMIFS($C$3:$C216,$D$3:$D216,G$2)))</f>
        <v>-</v>
      </c>
      <c r="H216" s="2" t="str">
        <f>IF(H$1&gt;$Z$4,"-",IF(COUNTIF($D$3:$D216,H$2)=$Z$3,"Full",SUMIFS($C$3:$C216,$D$3:$D216,H$2)))</f>
        <v>-</v>
      </c>
      <c r="I216" s="2" t="str">
        <f>IF(I$1&gt;$Z$4,"-",IF(COUNTIF($D$3:$D216,I$2)=$Z$3,"Full",SUMIFS($C$3:$C216,$D$3:$D216,I$2)))</f>
        <v>-</v>
      </c>
      <c r="J216" s="2" t="str">
        <f>IF(J$1&gt;$Z$4,"-",IF(COUNTIF($D$3:$D216,J$2)=$Z$3,"Full",SUMIFS($C$3:$C216,$D$3:$D216,J$2)))</f>
        <v>-</v>
      </c>
      <c r="K216" s="2" t="str">
        <f>IF(K$1&gt;$Z$4,"-",IF(COUNTIF($D$3:$D216,K$2)=$Z$3,"Full",SUMIFS($C$3:$C216,$D$3:$D216,K$2)))</f>
        <v>-</v>
      </c>
      <c r="L216" s="2" t="str">
        <f>IF(L$1&gt;$Z$4,"-",IF(COUNTIF($D$3:$D216,L$2)=$Z$3,"Full",SUMIFS($C$3:$C216,$D$3:$D216,L$2)))</f>
        <v>-</v>
      </c>
      <c r="M216" s="2" t="str">
        <f>IF(M$1&gt;$Z$4,"-",IF(COUNTIF($D$3:$D216,M$2)=$Z$3,"Full",SUMIFS($C$3:$C216,$D$3:$D216,M$2)))</f>
        <v>-</v>
      </c>
      <c r="N216" s="2" t="str">
        <f>IF(N$1&gt;$Z$4,"-",IF(COUNTIF($D$3:$D216,N$2)=$Z$3,"Full",SUMIFS($C$3:$C216,$D$3:$D216,N$2)))</f>
        <v>-</v>
      </c>
      <c r="O216" s="2" t="str">
        <f>IF(O$1&gt;$Z$4,"-",IF(COUNTIF($D$3:$D216,O$2)=$Z$3,"Full",SUMIFS($C$3:$C216,$D$3:$D216,O$2)))</f>
        <v>-</v>
      </c>
      <c r="P216" s="2" t="str">
        <f>IF(P$1&gt;$Z$4,"-",IF(COUNTIF($D$3:$D216,P$2)=$Z$3,"Full",SUMIFS($C$3:$C216,$D$3:$D216,P$2)))</f>
        <v>-</v>
      </c>
      <c r="Q216" s="2" t="str">
        <f>IF(Q$1&gt;$Z$4,"-",IF(COUNTIF($D$3:$D216,Q$2)=$Z$3,"Full",SUMIFS($C$3:$C216,$D$3:$D216,Q$2)))</f>
        <v>-</v>
      </c>
      <c r="R216" s="2" t="str">
        <f>IF(R$1&gt;$Z$4,"-",IF(COUNTIF($D$3:$D216,R$2)=$Z$3,"Full",SUMIFS($C$3:$C216,$D$3:$D216,R$2)))</f>
        <v>-</v>
      </c>
      <c r="S216" s="2" t="str">
        <f>IF(S$1&gt;$Z$4,"-",IF(COUNTIF($D$3:$D216,S$2)=$Z$3,"Full",SUMIFS($C$3:$C216,$D$3:$D216,S$2)))</f>
        <v>-</v>
      </c>
      <c r="T216" s="11" t="str">
        <f>IF(T$1&gt;$Z$4,"-",IF(COUNTIF($D$3:$D216,T$2)=$Z$3,"Full",SUMIFS($C$3:$C216,$D$3:$D216,T$2)))</f>
        <v>-</v>
      </c>
    </row>
    <row r="217" spans="1:20" x14ac:dyDescent="0.25">
      <c r="A217" s="10" t="str">
        <f t="shared" si="156"/>
        <v/>
      </c>
      <c r="D217" s="2" t="str" cm="1">
        <f t="array" aca="1" ref="D217" ca="1">IFERROR(_xlfn.XLOOKUP(MIN(E216:INDIRECT($AA$4&amp;A217+1)),E216:INDIRECT($AA$4&amp;A217+1),$E$2:INDIRECT($AA$4&amp;"$2")),"-")</f>
        <v>-</v>
      </c>
      <c r="E217" s="2" t="str">
        <f ca="1">IF(E$1&gt;$Z$4,"-",IF(COUNTIF($D$3:$D217,E$2)=$Z$3,"Full",SUMIFS($C$3:$C217,$D$3:$D217,E$2)))</f>
        <v>Full</v>
      </c>
      <c r="F217" s="2" t="str">
        <f>IF(F$1&gt;$Z$4,"-",IF(COUNTIF($D$3:$D217,F$2)=$Z$3,"Full",SUMIFS($C$3:$C217,$D$3:$D217,F$2)))</f>
        <v>-</v>
      </c>
      <c r="G217" s="2" t="str">
        <f>IF(G$1&gt;$Z$4,"-",IF(COUNTIF($D$3:$D217,G$2)=$Z$3,"Full",SUMIFS($C$3:$C217,$D$3:$D217,G$2)))</f>
        <v>-</v>
      </c>
      <c r="H217" s="2" t="str">
        <f>IF(H$1&gt;$Z$4,"-",IF(COUNTIF($D$3:$D217,H$2)=$Z$3,"Full",SUMIFS($C$3:$C217,$D$3:$D217,H$2)))</f>
        <v>-</v>
      </c>
      <c r="I217" s="2" t="str">
        <f>IF(I$1&gt;$Z$4,"-",IF(COUNTIF($D$3:$D217,I$2)=$Z$3,"Full",SUMIFS($C$3:$C217,$D$3:$D217,I$2)))</f>
        <v>-</v>
      </c>
      <c r="J217" s="2" t="str">
        <f>IF(J$1&gt;$Z$4,"-",IF(COUNTIF($D$3:$D217,J$2)=$Z$3,"Full",SUMIFS($C$3:$C217,$D$3:$D217,J$2)))</f>
        <v>-</v>
      </c>
      <c r="K217" s="2" t="str">
        <f>IF(K$1&gt;$Z$4,"-",IF(COUNTIF($D$3:$D217,K$2)=$Z$3,"Full",SUMIFS($C$3:$C217,$D$3:$D217,K$2)))</f>
        <v>-</v>
      </c>
      <c r="L217" s="2" t="str">
        <f>IF(L$1&gt;$Z$4,"-",IF(COUNTIF($D$3:$D217,L$2)=$Z$3,"Full",SUMIFS($C$3:$C217,$D$3:$D217,L$2)))</f>
        <v>-</v>
      </c>
      <c r="M217" s="2" t="str">
        <f>IF(M$1&gt;$Z$4,"-",IF(COUNTIF($D$3:$D217,M$2)=$Z$3,"Full",SUMIFS($C$3:$C217,$D$3:$D217,M$2)))</f>
        <v>-</v>
      </c>
      <c r="N217" s="2" t="str">
        <f>IF(N$1&gt;$Z$4,"-",IF(COUNTIF($D$3:$D217,N$2)=$Z$3,"Full",SUMIFS($C$3:$C217,$D$3:$D217,N$2)))</f>
        <v>-</v>
      </c>
      <c r="O217" s="2" t="str">
        <f>IF(O$1&gt;$Z$4,"-",IF(COUNTIF($D$3:$D217,O$2)=$Z$3,"Full",SUMIFS($C$3:$C217,$D$3:$D217,O$2)))</f>
        <v>-</v>
      </c>
      <c r="P217" s="2" t="str">
        <f>IF(P$1&gt;$Z$4,"-",IF(COUNTIF($D$3:$D217,P$2)=$Z$3,"Full",SUMIFS($C$3:$C217,$D$3:$D217,P$2)))</f>
        <v>-</v>
      </c>
      <c r="Q217" s="2" t="str">
        <f>IF(Q$1&gt;$Z$4,"-",IF(COUNTIF($D$3:$D217,Q$2)=$Z$3,"Full",SUMIFS($C$3:$C217,$D$3:$D217,Q$2)))</f>
        <v>-</v>
      </c>
      <c r="R217" s="2" t="str">
        <f>IF(R$1&gt;$Z$4,"-",IF(COUNTIF($D$3:$D217,R$2)=$Z$3,"Full",SUMIFS($C$3:$C217,$D$3:$D217,R$2)))</f>
        <v>-</v>
      </c>
      <c r="S217" s="2" t="str">
        <f>IF(S$1&gt;$Z$4,"-",IF(COUNTIF($D$3:$D217,S$2)=$Z$3,"Full",SUMIFS($C$3:$C217,$D$3:$D217,S$2)))</f>
        <v>-</v>
      </c>
      <c r="T217" s="11" t="str">
        <f>IF(T$1&gt;$Z$4,"-",IF(COUNTIF($D$3:$D217,T$2)=$Z$3,"Full",SUMIFS($C$3:$C217,$D$3:$D217,T$2)))</f>
        <v>-</v>
      </c>
    </row>
    <row r="218" spans="1:20" x14ac:dyDescent="0.25">
      <c r="A218" s="10" t="str">
        <f t="shared" si="156"/>
        <v/>
      </c>
      <c r="D218" s="2" t="str" cm="1">
        <f t="array" aca="1" ref="D218" ca="1">IFERROR(_xlfn.XLOOKUP(MIN(E217:INDIRECT($AA$4&amp;A218+1)),E217:INDIRECT($AA$4&amp;A218+1),$E$2:INDIRECT($AA$4&amp;"$2")),"-")</f>
        <v>-</v>
      </c>
      <c r="E218" s="2" t="str">
        <f ca="1">IF(E$1&gt;$Z$4,"-",IF(COUNTIF($D$3:$D218,E$2)=$Z$3,"Full",SUMIFS($C$3:$C218,$D$3:$D218,E$2)))</f>
        <v>Full</v>
      </c>
      <c r="F218" s="2" t="str">
        <f>IF(F$1&gt;$Z$4,"-",IF(COUNTIF($D$3:$D218,F$2)=$Z$3,"Full",SUMIFS($C$3:$C218,$D$3:$D218,F$2)))</f>
        <v>-</v>
      </c>
      <c r="G218" s="2" t="str">
        <f>IF(G$1&gt;$Z$4,"-",IF(COUNTIF($D$3:$D218,G$2)=$Z$3,"Full",SUMIFS($C$3:$C218,$D$3:$D218,G$2)))</f>
        <v>-</v>
      </c>
      <c r="H218" s="2" t="str">
        <f>IF(H$1&gt;$Z$4,"-",IF(COUNTIF($D$3:$D218,H$2)=$Z$3,"Full",SUMIFS($C$3:$C218,$D$3:$D218,H$2)))</f>
        <v>-</v>
      </c>
      <c r="I218" s="2" t="str">
        <f>IF(I$1&gt;$Z$4,"-",IF(COUNTIF($D$3:$D218,I$2)=$Z$3,"Full",SUMIFS($C$3:$C218,$D$3:$D218,I$2)))</f>
        <v>-</v>
      </c>
      <c r="J218" s="2" t="str">
        <f>IF(J$1&gt;$Z$4,"-",IF(COUNTIF($D$3:$D218,J$2)=$Z$3,"Full",SUMIFS($C$3:$C218,$D$3:$D218,J$2)))</f>
        <v>-</v>
      </c>
      <c r="K218" s="2" t="str">
        <f>IF(K$1&gt;$Z$4,"-",IF(COUNTIF($D$3:$D218,K$2)=$Z$3,"Full",SUMIFS($C$3:$C218,$D$3:$D218,K$2)))</f>
        <v>-</v>
      </c>
      <c r="L218" s="2" t="str">
        <f>IF(L$1&gt;$Z$4,"-",IF(COUNTIF($D$3:$D218,L$2)=$Z$3,"Full",SUMIFS($C$3:$C218,$D$3:$D218,L$2)))</f>
        <v>-</v>
      </c>
      <c r="M218" s="2" t="str">
        <f>IF(M$1&gt;$Z$4,"-",IF(COUNTIF($D$3:$D218,M$2)=$Z$3,"Full",SUMIFS($C$3:$C218,$D$3:$D218,M$2)))</f>
        <v>-</v>
      </c>
      <c r="N218" s="2" t="str">
        <f>IF(N$1&gt;$Z$4,"-",IF(COUNTIF($D$3:$D218,N$2)=$Z$3,"Full",SUMIFS($C$3:$C218,$D$3:$D218,N$2)))</f>
        <v>-</v>
      </c>
      <c r="O218" s="2" t="str">
        <f>IF(O$1&gt;$Z$4,"-",IF(COUNTIF($D$3:$D218,O$2)=$Z$3,"Full",SUMIFS($C$3:$C218,$D$3:$D218,O$2)))</f>
        <v>-</v>
      </c>
      <c r="P218" s="2" t="str">
        <f>IF(P$1&gt;$Z$4,"-",IF(COUNTIF($D$3:$D218,P$2)=$Z$3,"Full",SUMIFS($C$3:$C218,$D$3:$D218,P$2)))</f>
        <v>-</v>
      </c>
      <c r="Q218" s="2" t="str">
        <f>IF(Q$1&gt;$Z$4,"-",IF(COUNTIF($D$3:$D218,Q$2)=$Z$3,"Full",SUMIFS($C$3:$C218,$D$3:$D218,Q$2)))</f>
        <v>-</v>
      </c>
      <c r="R218" s="2" t="str">
        <f>IF(R$1&gt;$Z$4,"-",IF(COUNTIF($D$3:$D218,R$2)=$Z$3,"Full",SUMIFS($C$3:$C218,$D$3:$D218,R$2)))</f>
        <v>-</v>
      </c>
      <c r="S218" s="2" t="str">
        <f>IF(S$1&gt;$Z$4,"-",IF(COUNTIF($D$3:$D218,S$2)=$Z$3,"Full",SUMIFS($C$3:$C218,$D$3:$D218,S$2)))</f>
        <v>-</v>
      </c>
      <c r="T218" s="11" t="str">
        <f>IF(T$1&gt;$Z$4,"-",IF(COUNTIF($D$3:$D218,T$2)=$Z$3,"Full",SUMIFS($C$3:$C218,$D$3:$D218,T$2)))</f>
        <v>-</v>
      </c>
    </row>
    <row r="219" spans="1:20" x14ac:dyDescent="0.25">
      <c r="A219" s="10" t="str">
        <f t="shared" si="156"/>
        <v/>
      </c>
      <c r="D219" s="2" t="str" cm="1">
        <f t="array" aca="1" ref="D219" ca="1">IFERROR(_xlfn.XLOOKUP(MIN(E218:INDIRECT($AA$4&amp;A219+1)),E218:INDIRECT($AA$4&amp;A219+1),$E$2:INDIRECT($AA$4&amp;"$2")),"-")</f>
        <v>-</v>
      </c>
      <c r="E219" s="2" t="str">
        <f ca="1">IF(E$1&gt;$Z$4,"-",IF(COUNTIF($D$3:$D219,E$2)=$Z$3,"Full",SUMIFS($C$3:$C219,$D$3:$D219,E$2)))</f>
        <v>Full</v>
      </c>
      <c r="F219" s="2" t="str">
        <f>IF(F$1&gt;$Z$4,"-",IF(COUNTIF($D$3:$D219,F$2)=$Z$3,"Full",SUMIFS($C$3:$C219,$D$3:$D219,F$2)))</f>
        <v>-</v>
      </c>
      <c r="G219" s="2" t="str">
        <f>IF(G$1&gt;$Z$4,"-",IF(COUNTIF($D$3:$D219,G$2)=$Z$3,"Full",SUMIFS($C$3:$C219,$D$3:$D219,G$2)))</f>
        <v>-</v>
      </c>
      <c r="H219" s="2" t="str">
        <f>IF(H$1&gt;$Z$4,"-",IF(COUNTIF($D$3:$D219,H$2)=$Z$3,"Full",SUMIFS($C$3:$C219,$D$3:$D219,H$2)))</f>
        <v>-</v>
      </c>
      <c r="I219" s="2" t="str">
        <f>IF(I$1&gt;$Z$4,"-",IF(COUNTIF($D$3:$D219,I$2)=$Z$3,"Full",SUMIFS($C$3:$C219,$D$3:$D219,I$2)))</f>
        <v>-</v>
      </c>
      <c r="J219" s="2" t="str">
        <f>IF(J$1&gt;$Z$4,"-",IF(COUNTIF($D$3:$D219,J$2)=$Z$3,"Full",SUMIFS($C$3:$C219,$D$3:$D219,J$2)))</f>
        <v>-</v>
      </c>
      <c r="K219" s="2" t="str">
        <f>IF(K$1&gt;$Z$4,"-",IF(COUNTIF($D$3:$D219,K$2)=$Z$3,"Full",SUMIFS($C$3:$C219,$D$3:$D219,K$2)))</f>
        <v>-</v>
      </c>
      <c r="L219" s="2" t="str">
        <f>IF(L$1&gt;$Z$4,"-",IF(COUNTIF($D$3:$D219,L$2)=$Z$3,"Full",SUMIFS($C$3:$C219,$D$3:$D219,L$2)))</f>
        <v>-</v>
      </c>
      <c r="M219" s="2" t="str">
        <f>IF(M$1&gt;$Z$4,"-",IF(COUNTIF($D$3:$D219,M$2)=$Z$3,"Full",SUMIFS($C$3:$C219,$D$3:$D219,M$2)))</f>
        <v>-</v>
      </c>
      <c r="N219" s="2" t="str">
        <f>IF(N$1&gt;$Z$4,"-",IF(COUNTIF($D$3:$D219,N$2)=$Z$3,"Full",SUMIFS($C$3:$C219,$D$3:$D219,N$2)))</f>
        <v>-</v>
      </c>
      <c r="O219" s="2" t="str">
        <f>IF(O$1&gt;$Z$4,"-",IF(COUNTIF($D$3:$D219,O$2)=$Z$3,"Full",SUMIFS($C$3:$C219,$D$3:$D219,O$2)))</f>
        <v>-</v>
      </c>
      <c r="P219" s="2" t="str">
        <f>IF(P$1&gt;$Z$4,"-",IF(COUNTIF($D$3:$D219,P$2)=$Z$3,"Full",SUMIFS($C$3:$C219,$D$3:$D219,P$2)))</f>
        <v>-</v>
      </c>
      <c r="Q219" s="2" t="str">
        <f>IF(Q$1&gt;$Z$4,"-",IF(COUNTIF($D$3:$D219,Q$2)=$Z$3,"Full",SUMIFS($C$3:$C219,$D$3:$D219,Q$2)))</f>
        <v>-</v>
      </c>
      <c r="R219" s="2" t="str">
        <f>IF(R$1&gt;$Z$4,"-",IF(COUNTIF($D$3:$D219,R$2)=$Z$3,"Full",SUMIFS($C$3:$C219,$D$3:$D219,R$2)))</f>
        <v>-</v>
      </c>
      <c r="S219" s="2" t="str">
        <f>IF(S$1&gt;$Z$4,"-",IF(COUNTIF($D$3:$D219,S$2)=$Z$3,"Full",SUMIFS($C$3:$C219,$D$3:$D219,S$2)))</f>
        <v>-</v>
      </c>
      <c r="T219" s="11" t="str">
        <f>IF(T$1&gt;$Z$4,"-",IF(COUNTIF($D$3:$D219,T$2)=$Z$3,"Full",SUMIFS($C$3:$C219,$D$3:$D219,T$2)))</f>
        <v>-</v>
      </c>
    </row>
    <row r="220" spans="1:20" x14ac:dyDescent="0.25">
      <c r="A220" s="10" t="str">
        <f t="shared" si="156"/>
        <v/>
      </c>
      <c r="D220" s="2" t="str" cm="1">
        <f t="array" aca="1" ref="D220" ca="1">IFERROR(_xlfn.XLOOKUP(MIN(E219:INDIRECT($AA$4&amp;A220+1)),E219:INDIRECT($AA$4&amp;A220+1),$E$2:INDIRECT($AA$4&amp;"$2")),"-")</f>
        <v>-</v>
      </c>
      <c r="E220" s="2" t="str">
        <f ca="1">IF(E$1&gt;$Z$4,"-",IF(COUNTIF($D$3:$D220,E$2)=$Z$3,"Full",SUMIFS($C$3:$C220,$D$3:$D220,E$2)))</f>
        <v>Full</v>
      </c>
      <c r="F220" s="2" t="str">
        <f>IF(F$1&gt;$Z$4,"-",IF(COUNTIF($D$3:$D220,F$2)=$Z$3,"Full",SUMIFS($C$3:$C220,$D$3:$D220,F$2)))</f>
        <v>-</v>
      </c>
      <c r="G220" s="2" t="str">
        <f>IF(G$1&gt;$Z$4,"-",IF(COUNTIF($D$3:$D220,G$2)=$Z$3,"Full",SUMIFS($C$3:$C220,$D$3:$D220,G$2)))</f>
        <v>-</v>
      </c>
      <c r="H220" s="2" t="str">
        <f>IF(H$1&gt;$Z$4,"-",IF(COUNTIF($D$3:$D220,H$2)=$Z$3,"Full",SUMIFS($C$3:$C220,$D$3:$D220,H$2)))</f>
        <v>-</v>
      </c>
      <c r="I220" s="2" t="str">
        <f>IF(I$1&gt;$Z$4,"-",IF(COUNTIF($D$3:$D220,I$2)=$Z$3,"Full",SUMIFS($C$3:$C220,$D$3:$D220,I$2)))</f>
        <v>-</v>
      </c>
      <c r="J220" s="2" t="str">
        <f>IF(J$1&gt;$Z$4,"-",IF(COUNTIF($D$3:$D220,J$2)=$Z$3,"Full",SUMIFS($C$3:$C220,$D$3:$D220,J$2)))</f>
        <v>-</v>
      </c>
      <c r="K220" s="2" t="str">
        <f>IF(K$1&gt;$Z$4,"-",IF(COUNTIF($D$3:$D220,K$2)=$Z$3,"Full",SUMIFS($C$3:$C220,$D$3:$D220,K$2)))</f>
        <v>-</v>
      </c>
      <c r="L220" s="2" t="str">
        <f>IF(L$1&gt;$Z$4,"-",IF(COUNTIF($D$3:$D220,L$2)=$Z$3,"Full",SUMIFS($C$3:$C220,$D$3:$D220,L$2)))</f>
        <v>-</v>
      </c>
      <c r="M220" s="2" t="str">
        <f>IF(M$1&gt;$Z$4,"-",IF(COUNTIF($D$3:$D220,M$2)=$Z$3,"Full",SUMIFS($C$3:$C220,$D$3:$D220,M$2)))</f>
        <v>-</v>
      </c>
      <c r="N220" s="2" t="str">
        <f>IF(N$1&gt;$Z$4,"-",IF(COUNTIF($D$3:$D220,N$2)=$Z$3,"Full",SUMIFS($C$3:$C220,$D$3:$D220,N$2)))</f>
        <v>-</v>
      </c>
      <c r="O220" s="2" t="str">
        <f>IF(O$1&gt;$Z$4,"-",IF(COUNTIF($D$3:$D220,O$2)=$Z$3,"Full",SUMIFS($C$3:$C220,$D$3:$D220,O$2)))</f>
        <v>-</v>
      </c>
      <c r="P220" s="2" t="str">
        <f>IF(P$1&gt;$Z$4,"-",IF(COUNTIF($D$3:$D220,P$2)=$Z$3,"Full",SUMIFS($C$3:$C220,$D$3:$D220,P$2)))</f>
        <v>-</v>
      </c>
      <c r="Q220" s="2" t="str">
        <f>IF(Q$1&gt;$Z$4,"-",IF(COUNTIF($D$3:$D220,Q$2)=$Z$3,"Full",SUMIFS($C$3:$C220,$D$3:$D220,Q$2)))</f>
        <v>-</v>
      </c>
      <c r="R220" s="2" t="str">
        <f>IF(R$1&gt;$Z$4,"-",IF(COUNTIF($D$3:$D220,R$2)=$Z$3,"Full",SUMIFS($C$3:$C220,$D$3:$D220,R$2)))</f>
        <v>-</v>
      </c>
      <c r="S220" s="2" t="str">
        <f>IF(S$1&gt;$Z$4,"-",IF(COUNTIF($D$3:$D220,S$2)=$Z$3,"Full",SUMIFS($C$3:$C220,$D$3:$D220,S$2)))</f>
        <v>-</v>
      </c>
      <c r="T220" s="11" t="str">
        <f>IF(T$1&gt;$Z$4,"-",IF(COUNTIF($D$3:$D220,T$2)=$Z$3,"Full",SUMIFS($C$3:$C220,$D$3:$D220,T$2)))</f>
        <v>-</v>
      </c>
    </row>
    <row r="221" spans="1:20" x14ac:dyDescent="0.25">
      <c r="A221" s="10" t="str">
        <f t="shared" si="156"/>
        <v/>
      </c>
      <c r="D221" s="2" t="str" cm="1">
        <f t="array" aca="1" ref="D221" ca="1">IFERROR(_xlfn.XLOOKUP(MIN(E220:INDIRECT($AA$4&amp;A221+1)),E220:INDIRECT($AA$4&amp;A221+1),$E$2:INDIRECT($AA$4&amp;"$2")),"-")</f>
        <v>-</v>
      </c>
      <c r="E221" s="2" t="str">
        <f ca="1">IF(E$1&gt;$Z$4,"-",IF(COUNTIF($D$3:$D221,E$2)=$Z$3,"Full",SUMIFS($C$3:$C221,$D$3:$D221,E$2)))</f>
        <v>Full</v>
      </c>
      <c r="F221" s="2" t="str">
        <f>IF(F$1&gt;$Z$4,"-",IF(COUNTIF($D$3:$D221,F$2)=$Z$3,"Full",SUMIFS($C$3:$C221,$D$3:$D221,F$2)))</f>
        <v>-</v>
      </c>
      <c r="G221" s="2" t="str">
        <f>IF(G$1&gt;$Z$4,"-",IF(COUNTIF($D$3:$D221,G$2)=$Z$3,"Full",SUMIFS($C$3:$C221,$D$3:$D221,G$2)))</f>
        <v>-</v>
      </c>
      <c r="H221" s="2" t="str">
        <f>IF(H$1&gt;$Z$4,"-",IF(COUNTIF($D$3:$D221,H$2)=$Z$3,"Full",SUMIFS($C$3:$C221,$D$3:$D221,H$2)))</f>
        <v>-</v>
      </c>
      <c r="I221" s="2" t="str">
        <f>IF(I$1&gt;$Z$4,"-",IF(COUNTIF($D$3:$D221,I$2)=$Z$3,"Full",SUMIFS($C$3:$C221,$D$3:$D221,I$2)))</f>
        <v>-</v>
      </c>
      <c r="J221" s="2" t="str">
        <f>IF(J$1&gt;$Z$4,"-",IF(COUNTIF($D$3:$D221,J$2)=$Z$3,"Full",SUMIFS($C$3:$C221,$D$3:$D221,J$2)))</f>
        <v>-</v>
      </c>
      <c r="K221" s="2" t="str">
        <f>IF(K$1&gt;$Z$4,"-",IF(COUNTIF($D$3:$D221,K$2)=$Z$3,"Full",SUMIFS($C$3:$C221,$D$3:$D221,K$2)))</f>
        <v>-</v>
      </c>
      <c r="L221" s="2" t="str">
        <f>IF(L$1&gt;$Z$4,"-",IF(COUNTIF($D$3:$D221,L$2)=$Z$3,"Full",SUMIFS($C$3:$C221,$D$3:$D221,L$2)))</f>
        <v>-</v>
      </c>
      <c r="M221" s="2" t="str">
        <f>IF(M$1&gt;$Z$4,"-",IF(COUNTIF($D$3:$D221,M$2)=$Z$3,"Full",SUMIFS($C$3:$C221,$D$3:$D221,M$2)))</f>
        <v>-</v>
      </c>
      <c r="N221" s="2" t="str">
        <f>IF(N$1&gt;$Z$4,"-",IF(COUNTIF($D$3:$D221,N$2)=$Z$3,"Full",SUMIFS($C$3:$C221,$D$3:$D221,N$2)))</f>
        <v>-</v>
      </c>
      <c r="O221" s="2" t="str">
        <f>IF(O$1&gt;$Z$4,"-",IF(COUNTIF($D$3:$D221,O$2)=$Z$3,"Full",SUMIFS($C$3:$C221,$D$3:$D221,O$2)))</f>
        <v>-</v>
      </c>
      <c r="P221" s="2" t="str">
        <f>IF(P$1&gt;$Z$4,"-",IF(COUNTIF($D$3:$D221,P$2)=$Z$3,"Full",SUMIFS($C$3:$C221,$D$3:$D221,P$2)))</f>
        <v>-</v>
      </c>
      <c r="Q221" s="2" t="str">
        <f>IF(Q$1&gt;$Z$4,"-",IF(COUNTIF($D$3:$D221,Q$2)=$Z$3,"Full",SUMIFS($C$3:$C221,$D$3:$D221,Q$2)))</f>
        <v>-</v>
      </c>
      <c r="R221" s="2" t="str">
        <f>IF(R$1&gt;$Z$4,"-",IF(COUNTIF($D$3:$D221,R$2)=$Z$3,"Full",SUMIFS($C$3:$C221,$D$3:$D221,R$2)))</f>
        <v>-</v>
      </c>
      <c r="S221" s="2" t="str">
        <f>IF(S$1&gt;$Z$4,"-",IF(COUNTIF($D$3:$D221,S$2)=$Z$3,"Full",SUMIFS($C$3:$C221,$D$3:$D221,S$2)))</f>
        <v>-</v>
      </c>
      <c r="T221" s="11" t="str">
        <f>IF(T$1&gt;$Z$4,"-",IF(COUNTIF($D$3:$D221,T$2)=$Z$3,"Full",SUMIFS($C$3:$C221,$D$3:$D221,T$2)))</f>
        <v>-</v>
      </c>
    </row>
    <row r="222" spans="1:20" x14ac:dyDescent="0.25">
      <c r="A222" s="10" t="str">
        <f t="shared" si="156"/>
        <v/>
      </c>
      <c r="D222" s="2" t="str" cm="1">
        <f t="array" aca="1" ref="D222" ca="1">IFERROR(_xlfn.XLOOKUP(MIN(E221:INDIRECT($AA$4&amp;A222+1)),E221:INDIRECT($AA$4&amp;A222+1),$E$2:INDIRECT($AA$4&amp;"$2")),"-")</f>
        <v>-</v>
      </c>
      <c r="E222" s="2" t="str">
        <f ca="1">IF(E$1&gt;$Z$4,"-",IF(COUNTIF($D$3:$D222,E$2)=$Z$3,"Full",SUMIFS($C$3:$C222,$D$3:$D222,E$2)))</f>
        <v>Full</v>
      </c>
      <c r="F222" s="2" t="str">
        <f>IF(F$1&gt;$Z$4,"-",IF(COUNTIF($D$3:$D222,F$2)=$Z$3,"Full",SUMIFS($C$3:$C222,$D$3:$D222,F$2)))</f>
        <v>-</v>
      </c>
      <c r="G222" s="2" t="str">
        <f>IF(G$1&gt;$Z$4,"-",IF(COUNTIF($D$3:$D222,G$2)=$Z$3,"Full",SUMIFS($C$3:$C222,$D$3:$D222,G$2)))</f>
        <v>-</v>
      </c>
      <c r="H222" s="2" t="str">
        <f>IF(H$1&gt;$Z$4,"-",IF(COUNTIF($D$3:$D222,H$2)=$Z$3,"Full",SUMIFS($C$3:$C222,$D$3:$D222,H$2)))</f>
        <v>-</v>
      </c>
      <c r="I222" s="2" t="str">
        <f>IF(I$1&gt;$Z$4,"-",IF(COUNTIF($D$3:$D222,I$2)=$Z$3,"Full",SUMIFS($C$3:$C222,$D$3:$D222,I$2)))</f>
        <v>-</v>
      </c>
      <c r="J222" s="2" t="str">
        <f>IF(J$1&gt;$Z$4,"-",IF(COUNTIF($D$3:$D222,J$2)=$Z$3,"Full",SUMIFS($C$3:$C222,$D$3:$D222,J$2)))</f>
        <v>-</v>
      </c>
      <c r="K222" s="2" t="str">
        <f>IF(K$1&gt;$Z$4,"-",IF(COUNTIF($D$3:$D222,K$2)=$Z$3,"Full",SUMIFS($C$3:$C222,$D$3:$D222,K$2)))</f>
        <v>-</v>
      </c>
      <c r="L222" s="2" t="str">
        <f>IF(L$1&gt;$Z$4,"-",IF(COUNTIF($D$3:$D222,L$2)=$Z$3,"Full",SUMIFS($C$3:$C222,$D$3:$D222,L$2)))</f>
        <v>-</v>
      </c>
      <c r="M222" s="2" t="str">
        <f>IF(M$1&gt;$Z$4,"-",IF(COUNTIF($D$3:$D222,M$2)=$Z$3,"Full",SUMIFS($C$3:$C222,$D$3:$D222,M$2)))</f>
        <v>-</v>
      </c>
      <c r="N222" s="2" t="str">
        <f>IF(N$1&gt;$Z$4,"-",IF(COUNTIF($D$3:$D222,N$2)=$Z$3,"Full",SUMIFS($C$3:$C222,$D$3:$D222,N$2)))</f>
        <v>-</v>
      </c>
      <c r="O222" s="2" t="str">
        <f>IF(O$1&gt;$Z$4,"-",IF(COUNTIF($D$3:$D222,O$2)=$Z$3,"Full",SUMIFS($C$3:$C222,$D$3:$D222,O$2)))</f>
        <v>-</v>
      </c>
      <c r="P222" s="2" t="str">
        <f>IF(P$1&gt;$Z$4,"-",IF(COUNTIF($D$3:$D222,P$2)=$Z$3,"Full",SUMIFS($C$3:$C222,$D$3:$D222,P$2)))</f>
        <v>-</v>
      </c>
      <c r="Q222" s="2" t="str">
        <f>IF(Q$1&gt;$Z$4,"-",IF(COUNTIF($D$3:$D222,Q$2)=$Z$3,"Full",SUMIFS($C$3:$C222,$D$3:$D222,Q$2)))</f>
        <v>-</v>
      </c>
      <c r="R222" s="2" t="str">
        <f>IF(R$1&gt;$Z$4,"-",IF(COUNTIF($D$3:$D222,R$2)=$Z$3,"Full",SUMIFS($C$3:$C222,$D$3:$D222,R$2)))</f>
        <v>-</v>
      </c>
      <c r="S222" s="2" t="str">
        <f>IF(S$1&gt;$Z$4,"-",IF(COUNTIF($D$3:$D222,S$2)=$Z$3,"Full",SUMIFS($C$3:$C222,$D$3:$D222,S$2)))</f>
        <v>-</v>
      </c>
      <c r="T222" s="11" t="str">
        <f>IF(T$1&gt;$Z$4,"-",IF(COUNTIF($D$3:$D222,T$2)=$Z$3,"Full",SUMIFS($C$3:$C222,$D$3:$D222,T$2)))</f>
        <v>-</v>
      </c>
    </row>
    <row r="223" spans="1:20" x14ac:dyDescent="0.25">
      <c r="A223" s="10" t="str">
        <f t="shared" si="156"/>
        <v/>
      </c>
      <c r="D223" s="2" t="str" cm="1">
        <f t="array" aca="1" ref="D223" ca="1">IFERROR(_xlfn.XLOOKUP(MIN(E222:INDIRECT($AA$4&amp;A223+1)),E222:INDIRECT($AA$4&amp;A223+1),$E$2:INDIRECT($AA$4&amp;"$2")),"-")</f>
        <v>-</v>
      </c>
      <c r="E223" s="2" t="str">
        <f ca="1">IF(E$1&gt;$Z$4,"-",IF(COUNTIF($D$3:$D223,E$2)=$Z$3,"Full",SUMIFS($C$3:$C223,$D$3:$D223,E$2)))</f>
        <v>Full</v>
      </c>
      <c r="F223" s="2" t="str">
        <f>IF(F$1&gt;$Z$4,"-",IF(COUNTIF($D$3:$D223,F$2)=$Z$3,"Full",SUMIFS($C$3:$C223,$D$3:$D223,F$2)))</f>
        <v>-</v>
      </c>
      <c r="G223" s="2" t="str">
        <f>IF(G$1&gt;$Z$4,"-",IF(COUNTIF($D$3:$D223,G$2)=$Z$3,"Full",SUMIFS($C$3:$C223,$D$3:$D223,G$2)))</f>
        <v>-</v>
      </c>
      <c r="H223" s="2" t="str">
        <f>IF(H$1&gt;$Z$4,"-",IF(COUNTIF($D$3:$D223,H$2)=$Z$3,"Full",SUMIFS($C$3:$C223,$D$3:$D223,H$2)))</f>
        <v>-</v>
      </c>
      <c r="I223" s="2" t="str">
        <f>IF(I$1&gt;$Z$4,"-",IF(COUNTIF($D$3:$D223,I$2)=$Z$3,"Full",SUMIFS($C$3:$C223,$D$3:$D223,I$2)))</f>
        <v>-</v>
      </c>
      <c r="J223" s="2" t="str">
        <f>IF(J$1&gt;$Z$4,"-",IF(COUNTIF($D$3:$D223,J$2)=$Z$3,"Full",SUMIFS($C$3:$C223,$D$3:$D223,J$2)))</f>
        <v>-</v>
      </c>
      <c r="K223" s="2" t="str">
        <f>IF(K$1&gt;$Z$4,"-",IF(COUNTIF($D$3:$D223,K$2)=$Z$3,"Full",SUMIFS($C$3:$C223,$D$3:$D223,K$2)))</f>
        <v>-</v>
      </c>
      <c r="L223" s="2" t="str">
        <f>IF(L$1&gt;$Z$4,"-",IF(COUNTIF($D$3:$D223,L$2)=$Z$3,"Full",SUMIFS($C$3:$C223,$D$3:$D223,L$2)))</f>
        <v>-</v>
      </c>
      <c r="M223" s="2" t="str">
        <f>IF(M$1&gt;$Z$4,"-",IF(COUNTIF($D$3:$D223,M$2)=$Z$3,"Full",SUMIFS($C$3:$C223,$D$3:$D223,M$2)))</f>
        <v>-</v>
      </c>
      <c r="N223" s="2" t="str">
        <f>IF(N$1&gt;$Z$4,"-",IF(COUNTIF($D$3:$D223,N$2)=$Z$3,"Full",SUMIFS($C$3:$C223,$D$3:$D223,N$2)))</f>
        <v>-</v>
      </c>
      <c r="O223" s="2" t="str">
        <f>IF(O$1&gt;$Z$4,"-",IF(COUNTIF($D$3:$D223,O$2)=$Z$3,"Full",SUMIFS($C$3:$C223,$D$3:$D223,O$2)))</f>
        <v>-</v>
      </c>
      <c r="P223" s="2" t="str">
        <f>IF(P$1&gt;$Z$4,"-",IF(COUNTIF($D$3:$D223,P$2)=$Z$3,"Full",SUMIFS($C$3:$C223,$D$3:$D223,P$2)))</f>
        <v>-</v>
      </c>
      <c r="Q223" s="2" t="str">
        <f>IF(Q$1&gt;$Z$4,"-",IF(COUNTIF($D$3:$D223,Q$2)=$Z$3,"Full",SUMIFS($C$3:$C223,$D$3:$D223,Q$2)))</f>
        <v>-</v>
      </c>
      <c r="R223" s="2" t="str">
        <f>IF(R$1&gt;$Z$4,"-",IF(COUNTIF($D$3:$D223,R$2)=$Z$3,"Full",SUMIFS($C$3:$C223,$D$3:$D223,R$2)))</f>
        <v>-</v>
      </c>
      <c r="S223" s="2" t="str">
        <f>IF(S$1&gt;$Z$4,"-",IF(COUNTIF($D$3:$D223,S$2)=$Z$3,"Full",SUMIFS($C$3:$C223,$D$3:$D223,S$2)))</f>
        <v>-</v>
      </c>
      <c r="T223" s="11" t="str">
        <f>IF(T$1&gt;$Z$4,"-",IF(COUNTIF($D$3:$D223,T$2)=$Z$3,"Full",SUMIFS($C$3:$C223,$D$3:$D223,T$2)))</f>
        <v>-</v>
      </c>
    </row>
    <row r="224" spans="1:20" x14ac:dyDescent="0.25">
      <c r="A224" s="10" t="str">
        <f t="shared" si="156"/>
        <v/>
      </c>
      <c r="D224" s="2" t="str" cm="1">
        <f t="array" aca="1" ref="D224" ca="1">IFERROR(_xlfn.XLOOKUP(MIN(E223:INDIRECT($AA$4&amp;A224+1)),E223:INDIRECT($AA$4&amp;A224+1),$E$2:INDIRECT($AA$4&amp;"$2")),"-")</f>
        <v>-</v>
      </c>
      <c r="E224" s="2" t="str">
        <f ca="1">IF(E$1&gt;$Z$4,"-",IF(COUNTIF($D$3:$D224,E$2)=$Z$3,"Full",SUMIFS($C$3:$C224,$D$3:$D224,E$2)))</f>
        <v>Full</v>
      </c>
      <c r="F224" s="2" t="str">
        <f>IF(F$1&gt;$Z$4,"-",IF(COUNTIF($D$3:$D224,F$2)=$Z$3,"Full",SUMIFS($C$3:$C224,$D$3:$D224,F$2)))</f>
        <v>-</v>
      </c>
      <c r="G224" s="2" t="str">
        <f>IF(G$1&gt;$Z$4,"-",IF(COUNTIF($D$3:$D224,G$2)=$Z$3,"Full",SUMIFS($C$3:$C224,$D$3:$D224,G$2)))</f>
        <v>-</v>
      </c>
      <c r="H224" s="2" t="str">
        <f>IF(H$1&gt;$Z$4,"-",IF(COUNTIF($D$3:$D224,H$2)=$Z$3,"Full",SUMIFS($C$3:$C224,$D$3:$D224,H$2)))</f>
        <v>-</v>
      </c>
      <c r="I224" s="2" t="str">
        <f>IF(I$1&gt;$Z$4,"-",IF(COUNTIF($D$3:$D224,I$2)=$Z$3,"Full",SUMIFS($C$3:$C224,$D$3:$D224,I$2)))</f>
        <v>-</v>
      </c>
      <c r="J224" s="2" t="str">
        <f>IF(J$1&gt;$Z$4,"-",IF(COUNTIF($D$3:$D224,J$2)=$Z$3,"Full",SUMIFS($C$3:$C224,$D$3:$D224,J$2)))</f>
        <v>-</v>
      </c>
      <c r="K224" s="2" t="str">
        <f>IF(K$1&gt;$Z$4,"-",IF(COUNTIF($D$3:$D224,K$2)=$Z$3,"Full",SUMIFS($C$3:$C224,$D$3:$D224,K$2)))</f>
        <v>-</v>
      </c>
      <c r="L224" s="2" t="str">
        <f>IF(L$1&gt;$Z$4,"-",IF(COUNTIF($D$3:$D224,L$2)=$Z$3,"Full",SUMIFS($C$3:$C224,$D$3:$D224,L$2)))</f>
        <v>-</v>
      </c>
      <c r="M224" s="2" t="str">
        <f>IF(M$1&gt;$Z$4,"-",IF(COUNTIF($D$3:$D224,M$2)=$Z$3,"Full",SUMIFS($C$3:$C224,$D$3:$D224,M$2)))</f>
        <v>-</v>
      </c>
      <c r="N224" s="2" t="str">
        <f>IF(N$1&gt;$Z$4,"-",IF(COUNTIF($D$3:$D224,N$2)=$Z$3,"Full",SUMIFS($C$3:$C224,$D$3:$D224,N$2)))</f>
        <v>-</v>
      </c>
      <c r="O224" s="2" t="str">
        <f>IF(O$1&gt;$Z$4,"-",IF(COUNTIF($D$3:$D224,O$2)=$Z$3,"Full",SUMIFS($C$3:$C224,$D$3:$D224,O$2)))</f>
        <v>-</v>
      </c>
      <c r="P224" s="2" t="str">
        <f>IF(P$1&gt;$Z$4,"-",IF(COUNTIF($D$3:$D224,P$2)=$Z$3,"Full",SUMIFS($C$3:$C224,$D$3:$D224,P$2)))</f>
        <v>-</v>
      </c>
      <c r="Q224" s="2" t="str">
        <f>IF(Q$1&gt;$Z$4,"-",IF(COUNTIF($D$3:$D224,Q$2)=$Z$3,"Full",SUMIFS($C$3:$C224,$D$3:$D224,Q$2)))</f>
        <v>-</v>
      </c>
      <c r="R224" s="2" t="str">
        <f>IF(R$1&gt;$Z$4,"-",IF(COUNTIF($D$3:$D224,R$2)=$Z$3,"Full",SUMIFS($C$3:$C224,$D$3:$D224,R$2)))</f>
        <v>-</v>
      </c>
      <c r="S224" s="2" t="str">
        <f>IF(S$1&gt;$Z$4,"-",IF(COUNTIF($D$3:$D224,S$2)=$Z$3,"Full",SUMIFS($C$3:$C224,$D$3:$D224,S$2)))</f>
        <v>-</v>
      </c>
      <c r="T224" s="11" t="str">
        <f>IF(T$1&gt;$Z$4,"-",IF(COUNTIF($D$3:$D224,T$2)=$Z$3,"Full",SUMIFS($C$3:$C224,$D$3:$D224,T$2)))</f>
        <v>-</v>
      </c>
    </row>
    <row r="225" spans="1:20" x14ac:dyDescent="0.25">
      <c r="A225" s="10" t="str">
        <f t="shared" si="156"/>
        <v/>
      </c>
      <c r="D225" s="2" t="str" cm="1">
        <f t="array" aca="1" ref="D225" ca="1">IFERROR(_xlfn.XLOOKUP(MIN(E224:INDIRECT($AA$4&amp;A225+1)),E224:INDIRECT($AA$4&amp;A225+1),$E$2:INDIRECT($AA$4&amp;"$2")),"-")</f>
        <v>-</v>
      </c>
      <c r="E225" s="2" t="str">
        <f ca="1">IF(E$1&gt;$Z$4,"-",IF(COUNTIF($D$3:$D225,E$2)=$Z$3,"Full",SUMIFS($C$3:$C225,$D$3:$D225,E$2)))</f>
        <v>Full</v>
      </c>
      <c r="F225" s="2" t="str">
        <f>IF(F$1&gt;$Z$4,"-",IF(COUNTIF($D$3:$D225,F$2)=$Z$3,"Full",SUMIFS($C$3:$C225,$D$3:$D225,F$2)))</f>
        <v>-</v>
      </c>
      <c r="G225" s="2" t="str">
        <f>IF(G$1&gt;$Z$4,"-",IF(COUNTIF($D$3:$D225,G$2)=$Z$3,"Full",SUMIFS($C$3:$C225,$D$3:$D225,G$2)))</f>
        <v>-</v>
      </c>
      <c r="H225" s="2" t="str">
        <f>IF(H$1&gt;$Z$4,"-",IF(COUNTIF($D$3:$D225,H$2)=$Z$3,"Full",SUMIFS($C$3:$C225,$D$3:$D225,H$2)))</f>
        <v>-</v>
      </c>
      <c r="I225" s="2" t="str">
        <f>IF(I$1&gt;$Z$4,"-",IF(COUNTIF($D$3:$D225,I$2)=$Z$3,"Full",SUMIFS($C$3:$C225,$D$3:$D225,I$2)))</f>
        <v>-</v>
      </c>
      <c r="J225" s="2" t="str">
        <f>IF(J$1&gt;$Z$4,"-",IF(COUNTIF($D$3:$D225,J$2)=$Z$3,"Full",SUMIFS($C$3:$C225,$D$3:$D225,J$2)))</f>
        <v>-</v>
      </c>
      <c r="K225" s="2" t="str">
        <f>IF(K$1&gt;$Z$4,"-",IF(COUNTIF($D$3:$D225,K$2)=$Z$3,"Full",SUMIFS($C$3:$C225,$D$3:$D225,K$2)))</f>
        <v>-</v>
      </c>
      <c r="L225" s="2" t="str">
        <f>IF(L$1&gt;$Z$4,"-",IF(COUNTIF($D$3:$D225,L$2)=$Z$3,"Full",SUMIFS($C$3:$C225,$D$3:$D225,L$2)))</f>
        <v>-</v>
      </c>
      <c r="M225" s="2" t="str">
        <f>IF(M$1&gt;$Z$4,"-",IF(COUNTIF($D$3:$D225,M$2)=$Z$3,"Full",SUMIFS($C$3:$C225,$D$3:$D225,M$2)))</f>
        <v>-</v>
      </c>
      <c r="N225" s="2" t="str">
        <f>IF(N$1&gt;$Z$4,"-",IF(COUNTIF($D$3:$D225,N$2)=$Z$3,"Full",SUMIFS($C$3:$C225,$D$3:$D225,N$2)))</f>
        <v>-</v>
      </c>
      <c r="O225" s="2" t="str">
        <f>IF(O$1&gt;$Z$4,"-",IF(COUNTIF($D$3:$D225,O$2)=$Z$3,"Full",SUMIFS($C$3:$C225,$D$3:$D225,O$2)))</f>
        <v>-</v>
      </c>
      <c r="P225" s="2" t="str">
        <f>IF(P$1&gt;$Z$4,"-",IF(COUNTIF($D$3:$D225,P$2)=$Z$3,"Full",SUMIFS($C$3:$C225,$D$3:$D225,P$2)))</f>
        <v>-</v>
      </c>
      <c r="Q225" s="2" t="str">
        <f>IF(Q$1&gt;$Z$4,"-",IF(COUNTIF($D$3:$D225,Q$2)=$Z$3,"Full",SUMIFS($C$3:$C225,$D$3:$D225,Q$2)))</f>
        <v>-</v>
      </c>
      <c r="R225" s="2" t="str">
        <f>IF(R$1&gt;$Z$4,"-",IF(COUNTIF($D$3:$D225,R$2)=$Z$3,"Full",SUMIFS($C$3:$C225,$D$3:$D225,R$2)))</f>
        <v>-</v>
      </c>
      <c r="S225" s="2" t="str">
        <f>IF(S$1&gt;$Z$4,"-",IF(COUNTIF($D$3:$D225,S$2)=$Z$3,"Full",SUMIFS($C$3:$C225,$D$3:$D225,S$2)))</f>
        <v>-</v>
      </c>
      <c r="T225" s="11" t="str">
        <f>IF(T$1&gt;$Z$4,"-",IF(COUNTIF($D$3:$D225,T$2)=$Z$3,"Full",SUMIFS($C$3:$C225,$D$3:$D225,T$2)))</f>
        <v>-</v>
      </c>
    </row>
    <row r="226" spans="1:20" x14ac:dyDescent="0.25">
      <c r="A226" s="10" t="str">
        <f t="shared" si="156"/>
        <v/>
      </c>
      <c r="D226" s="2" t="str" cm="1">
        <f t="array" aca="1" ref="D226" ca="1">IFERROR(_xlfn.XLOOKUP(MIN(E225:INDIRECT($AA$4&amp;A226+1)),E225:INDIRECT($AA$4&amp;A226+1),$E$2:INDIRECT($AA$4&amp;"$2")),"-")</f>
        <v>-</v>
      </c>
      <c r="E226" s="2" t="str">
        <f ca="1">IF(E$1&gt;$Z$4,"-",IF(COUNTIF($D$3:$D226,E$2)=$Z$3,"Full",SUMIFS($C$3:$C226,$D$3:$D226,E$2)))</f>
        <v>Full</v>
      </c>
      <c r="F226" s="2" t="str">
        <f>IF(F$1&gt;$Z$4,"-",IF(COUNTIF($D$3:$D226,F$2)=$Z$3,"Full",SUMIFS($C$3:$C226,$D$3:$D226,F$2)))</f>
        <v>-</v>
      </c>
      <c r="G226" s="2" t="str">
        <f>IF(G$1&gt;$Z$4,"-",IF(COUNTIF($D$3:$D226,G$2)=$Z$3,"Full",SUMIFS($C$3:$C226,$D$3:$D226,G$2)))</f>
        <v>-</v>
      </c>
      <c r="H226" s="2" t="str">
        <f>IF(H$1&gt;$Z$4,"-",IF(COUNTIF($D$3:$D226,H$2)=$Z$3,"Full",SUMIFS($C$3:$C226,$D$3:$D226,H$2)))</f>
        <v>-</v>
      </c>
      <c r="I226" s="2" t="str">
        <f>IF(I$1&gt;$Z$4,"-",IF(COUNTIF($D$3:$D226,I$2)=$Z$3,"Full",SUMIFS($C$3:$C226,$D$3:$D226,I$2)))</f>
        <v>-</v>
      </c>
      <c r="J226" s="2" t="str">
        <f>IF(J$1&gt;$Z$4,"-",IF(COUNTIF($D$3:$D226,J$2)=$Z$3,"Full",SUMIFS($C$3:$C226,$D$3:$D226,J$2)))</f>
        <v>-</v>
      </c>
      <c r="K226" s="2" t="str">
        <f>IF(K$1&gt;$Z$4,"-",IF(COUNTIF($D$3:$D226,K$2)=$Z$3,"Full",SUMIFS($C$3:$C226,$D$3:$D226,K$2)))</f>
        <v>-</v>
      </c>
      <c r="L226" s="2" t="str">
        <f>IF(L$1&gt;$Z$4,"-",IF(COUNTIF($D$3:$D226,L$2)=$Z$3,"Full",SUMIFS($C$3:$C226,$D$3:$D226,L$2)))</f>
        <v>-</v>
      </c>
      <c r="M226" s="2" t="str">
        <f>IF(M$1&gt;$Z$4,"-",IF(COUNTIF($D$3:$D226,M$2)=$Z$3,"Full",SUMIFS($C$3:$C226,$D$3:$D226,M$2)))</f>
        <v>-</v>
      </c>
      <c r="N226" s="2" t="str">
        <f>IF(N$1&gt;$Z$4,"-",IF(COUNTIF($D$3:$D226,N$2)=$Z$3,"Full",SUMIFS($C$3:$C226,$D$3:$D226,N$2)))</f>
        <v>-</v>
      </c>
      <c r="O226" s="2" t="str">
        <f>IF(O$1&gt;$Z$4,"-",IF(COUNTIF($D$3:$D226,O$2)=$Z$3,"Full",SUMIFS($C$3:$C226,$D$3:$D226,O$2)))</f>
        <v>-</v>
      </c>
      <c r="P226" s="2" t="str">
        <f>IF(P$1&gt;$Z$4,"-",IF(COUNTIF($D$3:$D226,P$2)=$Z$3,"Full",SUMIFS($C$3:$C226,$D$3:$D226,P$2)))</f>
        <v>-</v>
      </c>
      <c r="Q226" s="2" t="str">
        <f>IF(Q$1&gt;$Z$4,"-",IF(COUNTIF($D$3:$D226,Q$2)=$Z$3,"Full",SUMIFS($C$3:$C226,$D$3:$D226,Q$2)))</f>
        <v>-</v>
      </c>
      <c r="R226" s="2" t="str">
        <f>IF(R$1&gt;$Z$4,"-",IF(COUNTIF($D$3:$D226,R$2)=$Z$3,"Full",SUMIFS($C$3:$C226,$D$3:$D226,R$2)))</f>
        <v>-</v>
      </c>
      <c r="S226" s="2" t="str">
        <f>IF(S$1&gt;$Z$4,"-",IF(COUNTIF($D$3:$D226,S$2)=$Z$3,"Full",SUMIFS($C$3:$C226,$D$3:$D226,S$2)))</f>
        <v>-</v>
      </c>
      <c r="T226" s="11" t="str">
        <f>IF(T$1&gt;$Z$4,"-",IF(COUNTIF($D$3:$D226,T$2)=$Z$3,"Full",SUMIFS($C$3:$C226,$D$3:$D226,T$2)))</f>
        <v>-</v>
      </c>
    </row>
    <row r="227" spans="1:20" x14ac:dyDescent="0.25">
      <c r="A227" s="10" t="str">
        <f t="shared" si="156"/>
        <v/>
      </c>
      <c r="D227" s="2" t="str" cm="1">
        <f t="array" aca="1" ref="D227" ca="1">IFERROR(_xlfn.XLOOKUP(MIN(E226:INDIRECT($AA$4&amp;A227+1)),E226:INDIRECT($AA$4&amp;A227+1),$E$2:INDIRECT($AA$4&amp;"$2")),"-")</f>
        <v>-</v>
      </c>
      <c r="E227" s="2" t="str">
        <f ca="1">IF(E$1&gt;$Z$4,"-",IF(COUNTIF($D$3:$D227,E$2)=$Z$3,"Full",SUMIFS($C$3:$C227,$D$3:$D227,E$2)))</f>
        <v>Full</v>
      </c>
      <c r="F227" s="2" t="str">
        <f>IF(F$1&gt;$Z$4,"-",IF(COUNTIF($D$3:$D227,F$2)=$Z$3,"Full",SUMIFS($C$3:$C227,$D$3:$D227,F$2)))</f>
        <v>-</v>
      </c>
      <c r="G227" s="2" t="str">
        <f>IF(G$1&gt;$Z$4,"-",IF(COUNTIF($D$3:$D227,G$2)=$Z$3,"Full",SUMIFS($C$3:$C227,$D$3:$D227,G$2)))</f>
        <v>-</v>
      </c>
      <c r="H227" s="2" t="str">
        <f>IF(H$1&gt;$Z$4,"-",IF(COUNTIF($D$3:$D227,H$2)=$Z$3,"Full",SUMIFS($C$3:$C227,$D$3:$D227,H$2)))</f>
        <v>-</v>
      </c>
      <c r="I227" s="2" t="str">
        <f>IF(I$1&gt;$Z$4,"-",IF(COUNTIF($D$3:$D227,I$2)=$Z$3,"Full",SUMIFS($C$3:$C227,$D$3:$D227,I$2)))</f>
        <v>-</v>
      </c>
      <c r="J227" s="2" t="str">
        <f>IF(J$1&gt;$Z$4,"-",IF(COUNTIF($D$3:$D227,J$2)=$Z$3,"Full",SUMIFS($C$3:$C227,$D$3:$D227,J$2)))</f>
        <v>-</v>
      </c>
      <c r="K227" s="2" t="str">
        <f>IF(K$1&gt;$Z$4,"-",IF(COUNTIF($D$3:$D227,K$2)=$Z$3,"Full",SUMIFS($C$3:$C227,$D$3:$D227,K$2)))</f>
        <v>-</v>
      </c>
      <c r="L227" s="2" t="str">
        <f>IF(L$1&gt;$Z$4,"-",IF(COUNTIF($D$3:$D227,L$2)=$Z$3,"Full",SUMIFS($C$3:$C227,$D$3:$D227,L$2)))</f>
        <v>-</v>
      </c>
      <c r="M227" s="2" t="str">
        <f>IF(M$1&gt;$Z$4,"-",IF(COUNTIF($D$3:$D227,M$2)=$Z$3,"Full",SUMIFS($C$3:$C227,$D$3:$D227,M$2)))</f>
        <v>-</v>
      </c>
      <c r="N227" s="2" t="str">
        <f>IF(N$1&gt;$Z$4,"-",IF(COUNTIF($D$3:$D227,N$2)=$Z$3,"Full",SUMIFS($C$3:$C227,$D$3:$D227,N$2)))</f>
        <v>-</v>
      </c>
      <c r="O227" s="2" t="str">
        <f>IF(O$1&gt;$Z$4,"-",IF(COUNTIF($D$3:$D227,O$2)=$Z$3,"Full",SUMIFS($C$3:$C227,$D$3:$D227,O$2)))</f>
        <v>-</v>
      </c>
      <c r="P227" s="2" t="str">
        <f>IF(P$1&gt;$Z$4,"-",IF(COUNTIF($D$3:$D227,P$2)=$Z$3,"Full",SUMIFS($C$3:$C227,$D$3:$D227,P$2)))</f>
        <v>-</v>
      </c>
      <c r="Q227" s="2" t="str">
        <f>IF(Q$1&gt;$Z$4,"-",IF(COUNTIF($D$3:$D227,Q$2)=$Z$3,"Full",SUMIFS($C$3:$C227,$D$3:$D227,Q$2)))</f>
        <v>-</v>
      </c>
      <c r="R227" s="2" t="str">
        <f>IF(R$1&gt;$Z$4,"-",IF(COUNTIF($D$3:$D227,R$2)=$Z$3,"Full",SUMIFS($C$3:$C227,$D$3:$D227,R$2)))</f>
        <v>-</v>
      </c>
      <c r="S227" s="2" t="str">
        <f>IF(S$1&gt;$Z$4,"-",IF(COUNTIF($D$3:$D227,S$2)=$Z$3,"Full",SUMIFS($C$3:$C227,$D$3:$D227,S$2)))</f>
        <v>-</v>
      </c>
      <c r="T227" s="11" t="str">
        <f>IF(T$1&gt;$Z$4,"-",IF(COUNTIF($D$3:$D227,T$2)=$Z$3,"Full",SUMIFS($C$3:$C227,$D$3:$D227,T$2)))</f>
        <v>-</v>
      </c>
    </row>
    <row r="228" spans="1:20" x14ac:dyDescent="0.25">
      <c r="A228" s="10" t="str">
        <f t="shared" si="156"/>
        <v/>
      </c>
      <c r="D228" s="2" t="str" cm="1">
        <f t="array" aca="1" ref="D228" ca="1">IFERROR(_xlfn.XLOOKUP(MIN(E227:INDIRECT($AA$4&amp;A228+1)),E227:INDIRECT($AA$4&amp;A228+1),$E$2:INDIRECT($AA$4&amp;"$2")),"-")</f>
        <v>-</v>
      </c>
      <c r="E228" s="2" t="str">
        <f ca="1">IF(E$1&gt;$Z$4,"-",IF(COUNTIF($D$3:$D228,E$2)=$Z$3,"Full",SUMIFS($C$3:$C228,$D$3:$D228,E$2)))</f>
        <v>Full</v>
      </c>
      <c r="F228" s="2" t="str">
        <f>IF(F$1&gt;$Z$4,"-",IF(COUNTIF($D$3:$D228,F$2)=$Z$3,"Full",SUMIFS($C$3:$C228,$D$3:$D228,F$2)))</f>
        <v>-</v>
      </c>
      <c r="G228" s="2" t="str">
        <f>IF(G$1&gt;$Z$4,"-",IF(COUNTIF($D$3:$D228,G$2)=$Z$3,"Full",SUMIFS($C$3:$C228,$D$3:$D228,G$2)))</f>
        <v>-</v>
      </c>
      <c r="H228" s="2" t="str">
        <f>IF(H$1&gt;$Z$4,"-",IF(COUNTIF($D$3:$D228,H$2)=$Z$3,"Full",SUMIFS($C$3:$C228,$D$3:$D228,H$2)))</f>
        <v>-</v>
      </c>
      <c r="I228" s="2" t="str">
        <f>IF(I$1&gt;$Z$4,"-",IF(COUNTIF($D$3:$D228,I$2)=$Z$3,"Full",SUMIFS($C$3:$C228,$D$3:$D228,I$2)))</f>
        <v>-</v>
      </c>
      <c r="J228" s="2" t="str">
        <f>IF(J$1&gt;$Z$4,"-",IF(COUNTIF($D$3:$D228,J$2)=$Z$3,"Full",SUMIFS($C$3:$C228,$D$3:$D228,J$2)))</f>
        <v>-</v>
      </c>
      <c r="K228" s="2" t="str">
        <f>IF(K$1&gt;$Z$4,"-",IF(COUNTIF($D$3:$D228,K$2)=$Z$3,"Full",SUMIFS($C$3:$C228,$D$3:$D228,K$2)))</f>
        <v>-</v>
      </c>
      <c r="L228" s="2" t="str">
        <f>IF(L$1&gt;$Z$4,"-",IF(COUNTIF($D$3:$D228,L$2)=$Z$3,"Full",SUMIFS($C$3:$C228,$D$3:$D228,L$2)))</f>
        <v>-</v>
      </c>
      <c r="M228" s="2" t="str">
        <f>IF(M$1&gt;$Z$4,"-",IF(COUNTIF($D$3:$D228,M$2)=$Z$3,"Full",SUMIFS($C$3:$C228,$D$3:$D228,M$2)))</f>
        <v>-</v>
      </c>
      <c r="N228" s="2" t="str">
        <f>IF(N$1&gt;$Z$4,"-",IF(COUNTIF($D$3:$D228,N$2)=$Z$3,"Full",SUMIFS($C$3:$C228,$D$3:$D228,N$2)))</f>
        <v>-</v>
      </c>
      <c r="O228" s="2" t="str">
        <f>IF(O$1&gt;$Z$4,"-",IF(COUNTIF($D$3:$D228,O$2)=$Z$3,"Full",SUMIFS($C$3:$C228,$D$3:$D228,O$2)))</f>
        <v>-</v>
      </c>
      <c r="P228" s="2" t="str">
        <f>IF(P$1&gt;$Z$4,"-",IF(COUNTIF($D$3:$D228,P$2)=$Z$3,"Full",SUMIFS($C$3:$C228,$D$3:$D228,P$2)))</f>
        <v>-</v>
      </c>
      <c r="Q228" s="2" t="str">
        <f>IF(Q$1&gt;$Z$4,"-",IF(COUNTIF($D$3:$D228,Q$2)=$Z$3,"Full",SUMIFS($C$3:$C228,$D$3:$D228,Q$2)))</f>
        <v>-</v>
      </c>
      <c r="R228" s="2" t="str">
        <f>IF(R$1&gt;$Z$4,"-",IF(COUNTIF($D$3:$D228,R$2)=$Z$3,"Full",SUMIFS($C$3:$C228,$D$3:$D228,R$2)))</f>
        <v>-</v>
      </c>
      <c r="S228" s="2" t="str">
        <f>IF(S$1&gt;$Z$4,"-",IF(COUNTIF($D$3:$D228,S$2)=$Z$3,"Full",SUMIFS($C$3:$C228,$D$3:$D228,S$2)))</f>
        <v>-</v>
      </c>
      <c r="T228" s="11" t="str">
        <f>IF(T$1&gt;$Z$4,"-",IF(COUNTIF($D$3:$D228,T$2)=$Z$3,"Full",SUMIFS($C$3:$C228,$D$3:$D228,T$2)))</f>
        <v>-</v>
      </c>
    </row>
    <row r="229" spans="1:20" x14ac:dyDescent="0.25">
      <c r="A229" s="10" t="str">
        <f t="shared" si="156"/>
        <v/>
      </c>
      <c r="D229" s="2" t="str" cm="1">
        <f t="array" aca="1" ref="D229" ca="1">IFERROR(_xlfn.XLOOKUP(MIN(E228:INDIRECT($AA$4&amp;A229+1)),E228:INDIRECT($AA$4&amp;A229+1),$E$2:INDIRECT($AA$4&amp;"$2")),"-")</f>
        <v>-</v>
      </c>
      <c r="E229" s="2" t="str">
        <f ca="1">IF(E$1&gt;$Z$4,"-",IF(COUNTIF($D$3:$D229,E$2)=$Z$3,"Full",SUMIFS($C$3:$C229,$D$3:$D229,E$2)))</f>
        <v>Full</v>
      </c>
      <c r="F229" s="2" t="str">
        <f>IF(F$1&gt;$Z$4,"-",IF(COUNTIF($D$3:$D229,F$2)=$Z$3,"Full",SUMIFS($C$3:$C229,$D$3:$D229,F$2)))</f>
        <v>-</v>
      </c>
      <c r="G229" s="2" t="str">
        <f>IF(G$1&gt;$Z$4,"-",IF(COUNTIF($D$3:$D229,G$2)=$Z$3,"Full",SUMIFS($C$3:$C229,$D$3:$D229,G$2)))</f>
        <v>-</v>
      </c>
      <c r="H229" s="2" t="str">
        <f>IF(H$1&gt;$Z$4,"-",IF(COUNTIF($D$3:$D229,H$2)=$Z$3,"Full",SUMIFS($C$3:$C229,$D$3:$D229,H$2)))</f>
        <v>-</v>
      </c>
      <c r="I229" s="2" t="str">
        <f>IF(I$1&gt;$Z$4,"-",IF(COUNTIF($D$3:$D229,I$2)=$Z$3,"Full",SUMIFS($C$3:$C229,$D$3:$D229,I$2)))</f>
        <v>-</v>
      </c>
      <c r="J229" s="2" t="str">
        <f>IF(J$1&gt;$Z$4,"-",IF(COUNTIF($D$3:$D229,J$2)=$Z$3,"Full",SUMIFS($C$3:$C229,$D$3:$D229,J$2)))</f>
        <v>-</v>
      </c>
      <c r="K229" s="2" t="str">
        <f>IF(K$1&gt;$Z$4,"-",IF(COUNTIF($D$3:$D229,K$2)=$Z$3,"Full",SUMIFS($C$3:$C229,$D$3:$D229,K$2)))</f>
        <v>-</v>
      </c>
      <c r="L229" s="2" t="str">
        <f>IF(L$1&gt;$Z$4,"-",IF(COUNTIF($D$3:$D229,L$2)=$Z$3,"Full",SUMIFS($C$3:$C229,$D$3:$D229,L$2)))</f>
        <v>-</v>
      </c>
      <c r="M229" s="2" t="str">
        <f>IF(M$1&gt;$Z$4,"-",IF(COUNTIF($D$3:$D229,M$2)=$Z$3,"Full",SUMIFS($C$3:$C229,$D$3:$D229,M$2)))</f>
        <v>-</v>
      </c>
      <c r="N229" s="2" t="str">
        <f>IF(N$1&gt;$Z$4,"-",IF(COUNTIF($D$3:$D229,N$2)=$Z$3,"Full",SUMIFS($C$3:$C229,$D$3:$D229,N$2)))</f>
        <v>-</v>
      </c>
      <c r="O229" s="2" t="str">
        <f>IF(O$1&gt;$Z$4,"-",IF(COUNTIF($D$3:$D229,O$2)=$Z$3,"Full",SUMIFS($C$3:$C229,$D$3:$D229,O$2)))</f>
        <v>-</v>
      </c>
      <c r="P229" s="2" t="str">
        <f>IF(P$1&gt;$Z$4,"-",IF(COUNTIF($D$3:$D229,P$2)=$Z$3,"Full",SUMIFS($C$3:$C229,$D$3:$D229,P$2)))</f>
        <v>-</v>
      </c>
      <c r="Q229" s="2" t="str">
        <f>IF(Q$1&gt;$Z$4,"-",IF(COUNTIF($D$3:$D229,Q$2)=$Z$3,"Full",SUMIFS($C$3:$C229,$D$3:$D229,Q$2)))</f>
        <v>-</v>
      </c>
      <c r="R229" s="2" t="str">
        <f>IF(R$1&gt;$Z$4,"-",IF(COUNTIF($D$3:$D229,R$2)=$Z$3,"Full",SUMIFS($C$3:$C229,$D$3:$D229,R$2)))</f>
        <v>-</v>
      </c>
      <c r="S229" s="2" t="str">
        <f>IF(S$1&gt;$Z$4,"-",IF(COUNTIF($D$3:$D229,S$2)=$Z$3,"Full",SUMIFS($C$3:$C229,$D$3:$D229,S$2)))</f>
        <v>-</v>
      </c>
      <c r="T229" s="11" t="str">
        <f>IF(T$1&gt;$Z$4,"-",IF(COUNTIF($D$3:$D229,T$2)=$Z$3,"Full",SUMIFS($C$3:$C229,$D$3:$D229,T$2)))</f>
        <v>-</v>
      </c>
    </row>
    <row r="230" spans="1:20" x14ac:dyDescent="0.25">
      <c r="A230" s="10" t="str">
        <f t="shared" si="156"/>
        <v/>
      </c>
      <c r="D230" s="2" t="str" cm="1">
        <f t="array" aca="1" ref="D230" ca="1">IFERROR(_xlfn.XLOOKUP(MIN(E229:INDIRECT($AA$4&amp;A230+1)),E229:INDIRECT($AA$4&amp;A230+1),$E$2:INDIRECT($AA$4&amp;"$2")),"-")</f>
        <v>-</v>
      </c>
      <c r="E230" s="2" t="str">
        <f ca="1">IF(E$1&gt;$Z$4,"-",IF(COUNTIF($D$3:$D230,E$2)=$Z$3,"Full",SUMIFS($C$3:$C230,$D$3:$D230,E$2)))</f>
        <v>Full</v>
      </c>
      <c r="F230" s="2" t="str">
        <f>IF(F$1&gt;$Z$4,"-",IF(COUNTIF($D$3:$D230,F$2)=$Z$3,"Full",SUMIFS($C$3:$C230,$D$3:$D230,F$2)))</f>
        <v>-</v>
      </c>
      <c r="G230" s="2" t="str">
        <f>IF(G$1&gt;$Z$4,"-",IF(COUNTIF($D$3:$D230,G$2)=$Z$3,"Full",SUMIFS($C$3:$C230,$D$3:$D230,G$2)))</f>
        <v>-</v>
      </c>
      <c r="H230" s="2" t="str">
        <f>IF(H$1&gt;$Z$4,"-",IF(COUNTIF($D$3:$D230,H$2)=$Z$3,"Full",SUMIFS($C$3:$C230,$D$3:$D230,H$2)))</f>
        <v>-</v>
      </c>
      <c r="I230" s="2" t="str">
        <f>IF(I$1&gt;$Z$4,"-",IF(COUNTIF($D$3:$D230,I$2)=$Z$3,"Full",SUMIFS($C$3:$C230,$D$3:$D230,I$2)))</f>
        <v>-</v>
      </c>
      <c r="J230" s="2" t="str">
        <f>IF(J$1&gt;$Z$4,"-",IF(COUNTIF($D$3:$D230,J$2)=$Z$3,"Full",SUMIFS($C$3:$C230,$D$3:$D230,J$2)))</f>
        <v>-</v>
      </c>
      <c r="K230" s="2" t="str">
        <f>IF(K$1&gt;$Z$4,"-",IF(COUNTIF($D$3:$D230,K$2)=$Z$3,"Full",SUMIFS($C$3:$C230,$D$3:$D230,K$2)))</f>
        <v>-</v>
      </c>
      <c r="L230" s="2" t="str">
        <f>IF(L$1&gt;$Z$4,"-",IF(COUNTIF($D$3:$D230,L$2)=$Z$3,"Full",SUMIFS($C$3:$C230,$D$3:$D230,L$2)))</f>
        <v>-</v>
      </c>
      <c r="M230" s="2" t="str">
        <f>IF(M$1&gt;$Z$4,"-",IF(COUNTIF($D$3:$D230,M$2)=$Z$3,"Full",SUMIFS($C$3:$C230,$D$3:$D230,M$2)))</f>
        <v>-</v>
      </c>
      <c r="N230" s="2" t="str">
        <f>IF(N$1&gt;$Z$4,"-",IF(COUNTIF($D$3:$D230,N$2)=$Z$3,"Full",SUMIFS($C$3:$C230,$D$3:$D230,N$2)))</f>
        <v>-</v>
      </c>
      <c r="O230" s="2" t="str">
        <f>IF(O$1&gt;$Z$4,"-",IF(COUNTIF($D$3:$D230,O$2)=$Z$3,"Full",SUMIFS($C$3:$C230,$D$3:$D230,O$2)))</f>
        <v>-</v>
      </c>
      <c r="P230" s="2" t="str">
        <f>IF(P$1&gt;$Z$4,"-",IF(COUNTIF($D$3:$D230,P$2)=$Z$3,"Full",SUMIFS($C$3:$C230,$D$3:$D230,P$2)))</f>
        <v>-</v>
      </c>
      <c r="Q230" s="2" t="str">
        <f>IF(Q$1&gt;$Z$4,"-",IF(COUNTIF($D$3:$D230,Q$2)=$Z$3,"Full",SUMIFS($C$3:$C230,$D$3:$D230,Q$2)))</f>
        <v>-</v>
      </c>
      <c r="R230" s="2" t="str">
        <f>IF(R$1&gt;$Z$4,"-",IF(COUNTIF($D$3:$D230,R$2)=$Z$3,"Full",SUMIFS($C$3:$C230,$D$3:$D230,R$2)))</f>
        <v>-</v>
      </c>
      <c r="S230" s="2" t="str">
        <f>IF(S$1&gt;$Z$4,"-",IF(COUNTIF($D$3:$D230,S$2)=$Z$3,"Full",SUMIFS($C$3:$C230,$D$3:$D230,S$2)))</f>
        <v>-</v>
      </c>
      <c r="T230" s="11" t="str">
        <f>IF(T$1&gt;$Z$4,"-",IF(COUNTIF($D$3:$D230,T$2)=$Z$3,"Full",SUMIFS($C$3:$C230,$D$3:$D230,T$2)))</f>
        <v>-</v>
      </c>
    </row>
    <row r="231" spans="1:20" x14ac:dyDescent="0.25">
      <c r="A231" s="10" t="str">
        <f t="shared" si="156"/>
        <v/>
      </c>
      <c r="D231" s="2" t="str" cm="1">
        <f t="array" aca="1" ref="D231" ca="1">IFERROR(_xlfn.XLOOKUP(MIN(E230:INDIRECT($AA$4&amp;A231+1)),E230:INDIRECT($AA$4&amp;A231+1),$E$2:INDIRECT($AA$4&amp;"$2")),"-")</f>
        <v>-</v>
      </c>
      <c r="E231" s="2" t="str">
        <f ca="1">IF(E$1&gt;$Z$4,"-",IF(COUNTIF($D$3:$D231,E$2)=$Z$3,"Full",SUMIFS($C$3:$C231,$D$3:$D231,E$2)))</f>
        <v>Full</v>
      </c>
      <c r="F231" s="2" t="str">
        <f>IF(F$1&gt;$Z$4,"-",IF(COUNTIF($D$3:$D231,F$2)=$Z$3,"Full",SUMIFS($C$3:$C231,$D$3:$D231,F$2)))</f>
        <v>-</v>
      </c>
      <c r="G231" s="2" t="str">
        <f>IF(G$1&gt;$Z$4,"-",IF(COUNTIF($D$3:$D231,G$2)=$Z$3,"Full",SUMIFS($C$3:$C231,$D$3:$D231,G$2)))</f>
        <v>-</v>
      </c>
      <c r="H231" s="2" t="str">
        <f>IF(H$1&gt;$Z$4,"-",IF(COUNTIF($D$3:$D231,H$2)=$Z$3,"Full",SUMIFS($C$3:$C231,$D$3:$D231,H$2)))</f>
        <v>-</v>
      </c>
      <c r="I231" s="2" t="str">
        <f>IF(I$1&gt;$Z$4,"-",IF(COUNTIF($D$3:$D231,I$2)=$Z$3,"Full",SUMIFS($C$3:$C231,$D$3:$D231,I$2)))</f>
        <v>-</v>
      </c>
      <c r="J231" s="2" t="str">
        <f>IF(J$1&gt;$Z$4,"-",IF(COUNTIF($D$3:$D231,J$2)=$Z$3,"Full",SUMIFS($C$3:$C231,$D$3:$D231,J$2)))</f>
        <v>-</v>
      </c>
      <c r="K231" s="2" t="str">
        <f>IF(K$1&gt;$Z$4,"-",IF(COUNTIF($D$3:$D231,K$2)=$Z$3,"Full",SUMIFS($C$3:$C231,$D$3:$D231,K$2)))</f>
        <v>-</v>
      </c>
      <c r="L231" s="2" t="str">
        <f>IF(L$1&gt;$Z$4,"-",IF(COUNTIF($D$3:$D231,L$2)=$Z$3,"Full",SUMIFS($C$3:$C231,$D$3:$D231,L$2)))</f>
        <v>-</v>
      </c>
      <c r="M231" s="2" t="str">
        <f>IF(M$1&gt;$Z$4,"-",IF(COUNTIF($D$3:$D231,M$2)=$Z$3,"Full",SUMIFS($C$3:$C231,$D$3:$D231,M$2)))</f>
        <v>-</v>
      </c>
      <c r="N231" s="2" t="str">
        <f>IF(N$1&gt;$Z$4,"-",IF(COUNTIF($D$3:$D231,N$2)=$Z$3,"Full",SUMIFS($C$3:$C231,$D$3:$D231,N$2)))</f>
        <v>-</v>
      </c>
      <c r="O231" s="2" t="str">
        <f>IF(O$1&gt;$Z$4,"-",IF(COUNTIF($D$3:$D231,O$2)=$Z$3,"Full",SUMIFS($C$3:$C231,$D$3:$D231,O$2)))</f>
        <v>-</v>
      </c>
      <c r="P231" s="2" t="str">
        <f>IF(P$1&gt;$Z$4,"-",IF(COUNTIF($D$3:$D231,P$2)=$Z$3,"Full",SUMIFS($C$3:$C231,$D$3:$D231,P$2)))</f>
        <v>-</v>
      </c>
      <c r="Q231" s="2" t="str">
        <f>IF(Q$1&gt;$Z$4,"-",IF(COUNTIF($D$3:$D231,Q$2)=$Z$3,"Full",SUMIFS($C$3:$C231,$D$3:$D231,Q$2)))</f>
        <v>-</v>
      </c>
      <c r="R231" s="2" t="str">
        <f>IF(R$1&gt;$Z$4,"-",IF(COUNTIF($D$3:$D231,R$2)=$Z$3,"Full",SUMIFS($C$3:$C231,$D$3:$D231,R$2)))</f>
        <v>-</v>
      </c>
      <c r="S231" s="2" t="str">
        <f>IF(S$1&gt;$Z$4,"-",IF(COUNTIF($D$3:$D231,S$2)=$Z$3,"Full",SUMIFS($C$3:$C231,$D$3:$D231,S$2)))</f>
        <v>-</v>
      </c>
      <c r="T231" s="11" t="str">
        <f>IF(T$1&gt;$Z$4,"-",IF(COUNTIF($D$3:$D231,T$2)=$Z$3,"Full",SUMIFS($C$3:$C231,$D$3:$D231,T$2)))</f>
        <v>-</v>
      </c>
    </row>
    <row r="232" spans="1:20" x14ac:dyDescent="0.25">
      <c r="A232" s="10" t="str">
        <f t="shared" si="156"/>
        <v/>
      </c>
      <c r="D232" s="2" t="str" cm="1">
        <f t="array" aca="1" ref="D232" ca="1">IFERROR(_xlfn.XLOOKUP(MIN(E231:INDIRECT($AA$4&amp;A232+1)),E231:INDIRECT($AA$4&amp;A232+1),$E$2:INDIRECT($AA$4&amp;"$2")),"-")</f>
        <v>-</v>
      </c>
      <c r="E232" s="2" t="str">
        <f ca="1">IF(E$1&gt;$Z$4,"-",IF(COUNTIF($D$3:$D232,E$2)=$Z$3,"Full",SUMIFS($C$3:$C232,$D$3:$D232,E$2)))</f>
        <v>Full</v>
      </c>
      <c r="F232" s="2" t="str">
        <f>IF(F$1&gt;$Z$4,"-",IF(COUNTIF($D$3:$D232,F$2)=$Z$3,"Full",SUMIFS($C$3:$C232,$D$3:$D232,F$2)))</f>
        <v>-</v>
      </c>
      <c r="G232" s="2" t="str">
        <f>IF(G$1&gt;$Z$4,"-",IF(COUNTIF($D$3:$D232,G$2)=$Z$3,"Full",SUMIFS($C$3:$C232,$D$3:$D232,G$2)))</f>
        <v>-</v>
      </c>
      <c r="H232" s="2" t="str">
        <f>IF(H$1&gt;$Z$4,"-",IF(COUNTIF($D$3:$D232,H$2)=$Z$3,"Full",SUMIFS($C$3:$C232,$D$3:$D232,H$2)))</f>
        <v>-</v>
      </c>
      <c r="I232" s="2" t="str">
        <f>IF(I$1&gt;$Z$4,"-",IF(COUNTIF($D$3:$D232,I$2)=$Z$3,"Full",SUMIFS($C$3:$C232,$D$3:$D232,I$2)))</f>
        <v>-</v>
      </c>
      <c r="J232" s="2" t="str">
        <f>IF(J$1&gt;$Z$4,"-",IF(COUNTIF($D$3:$D232,J$2)=$Z$3,"Full",SUMIFS($C$3:$C232,$D$3:$D232,J$2)))</f>
        <v>-</v>
      </c>
      <c r="K232" s="2" t="str">
        <f>IF(K$1&gt;$Z$4,"-",IF(COUNTIF($D$3:$D232,K$2)=$Z$3,"Full",SUMIFS($C$3:$C232,$D$3:$D232,K$2)))</f>
        <v>-</v>
      </c>
      <c r="L232" s="2" t="str">
        <f>IF(L$1&gt;$Z$4,"-",IF(COUNTIF($D$3:$D232,L$2)=$Z$3,"Full",SUMIFS($C$3:$C232,$D$3:$D232,L$2)))</f>
        <v>-</v>
      </c>
      <c r="M232" s="2" t="str">
        <f>IF(M$1&gt;$Z$4,"-",IF(COUNTIF($D$3:$D232,M$2)=$Z$3,"Full",SUMIFS($C$3:$C232,$D$3:$D232,M$2)))</f>
        <v>-</v>
      </c>
      <c r="N232" s="2" t="str">
        <f>IF(N$1&gt;$Z$4,"-",IF(COUNTIF($D$3:$D232,N$2)=$Z$3,"Full",SUMIFS($C$3:$C232,$D$3:$D232,N$2)))</f>
        <v>-</v>
      </c>
      <c r="O232" s="2" t="str">
        <f>IF(O$1&gt;$Z$4,"-",IF(COUNTIF($D$3:$D232,O$2)=$Z$3,"Full",SUMIFS($C$3:$C232,$D$3:$D232,O$2)))</f>
        <v>-</v>
      </c>
      <c r="P232" s="2" t="str">
        <f>IF(P$1&gt;$Z$4,"-",IF(COUNTIF($D$3:$D232,P$2)=$Z$3,"Full",SUMIFS($C$3:$C232,$D$3:$D232,P$2)))</f>
        <v>-</v>
      </c>
      <c r="Q232" s="2" t="str">
        <f>IF(Q$1&gt;$Z$4,"-",IF(COUNTIF($D$3:$D232,Q$2)=$Z$3,"Full",SUMIFS($C$3:$C232,$D$3:$D232,Q$2)))</f>
        <v>-</v>
      </c>
      <c r="R232" s="2" t="str">
        <f>IF(R$1&gt;$Z$4,"-",IF(COUNTIF($D$3:$D232,R$2)=$Z$3,"Full",SUMIFS($C$3:$C232,$D$3:$D232,R$2)))</f>
        <v>-</v>
      </c>
      <c r="S232" s="2" t="str">
        <f>IF(S$1&gt;$Z$4,"-",IF(COUNTIF($D$3:$D232,S$2)=$Z$3,"Full",SUMIFS($C$3:$C232,$D$3:$D232,S$2)))</f>
        <v>-</v>
      </c>
      <c r="T232" s="11" t="str">
        <f>IF(T$1&gt;$Z$4,"-",IF(COUNTIF($D$3:$D232,T$2)=$Z$3,"Full",SUMIFS($C$3:$C232,$D$3:$D232,T$2)))</f>
        <v>-</v>
      </c>
    </row>
    <row r="233" spans="1:20" x14ac:dyDescent="0.25">
      <c r="A233" s="10" t="str">
        <f t="shared" si="156"/>
        <v/>
      </c>
      <c r="D233" s="2" t="str" cm="1">
        <f t="array" aca="1" ref="D233" ca="1">IFERROR(_xlfn.XLOOKUP(MIN(E232:INDIRECT($AA$4&amp;A233+1)),E232:INDIRECT($AA$4&amp;A233+1),$E$2:INDIRECT($AA$4&amp;"$2")),"-")</f>
        <v>-</v>
      </c>
      <c r="E233" s="2" t="str">
        <f ca="1">IF(E$1&gt;$Z$4,"-",IF(COUNTIF($D$3:$D233,E$2)=$Z$3,"Full",SUMIFS($C$3:$C233,$D$3:$D233,E$2)))</f>
        <v>Full</v>
      </c>
      <c r="F233" s="2" t="str">
        <f>IF(F$1&gt;$Z$4,"-",IF(COUNTIF($D$3:$D233,F$2)=$Z$3,"Full",SUMIFS($C$3:$C233,$D$3:$D233,F$2)))</f>
        <v>-</v>
      </c>
      <c r="G233" s="2" t="str">
        <f>IF(G$1&gt;$Z$4,"-",IF(COUNTIF($D$3:$D233,G$2)=$Z$3,"Full",SUMIFS($C$3:$C233,$D$3:$D233,G$2)))</f>
        <v>-</v>
      </c>
      <c r="H233" s="2" t="str">
        <f>IF(H$1&gt;$Z$4,"-",IF(COUNTIF($D$3:$D233,H$2)=$Z$3,"Full",SUMIFS($C$3:$C233,$D$3:$D233,H$2)))</f>
        <v>-</v>
      </c>
      <c r="I233" s="2" t="str">
        <f>IF(I$1&gt;$Z$4,"-",IF(COUNTIF($D$3:$D233,I$2)=$Z$3,"Full",SUMIFS($C$3:$C233,$D$3:$D233,I$2)))</f>
        <v>-</v>
      </c>
      <c r="J233" s="2" t="str">
        <f>IF(J$1&gt;$Z$4,"-",IF(COUNTIF($D$3:$D233,J$2)=$Z$3,"Full",SUMIFS($C$3:$C233,$D$3:$D233,J$2)))</f>
        <v>-</v>
      </c>
      <c r="K233" s="2" t="str">
        <f>IF(K$1&gt;$Z$4,"-",IF(COUNTIF($D$3:$D233,K$2)=$Z$3,"Full",SUMIFS($C$3:$C233,$D$3:$D233,K$2)))</f>
        <v>-</v>
      </c>
      <c r="L233" s="2" t="str">
        <f>IF(L$1&gt;$Z$4,"-",IF(COUNTIF($D$3:$D233,L$2)=$Z$3,"Full",SUMIFS($C$3:$C233,$D$3:$D233,L$2)))</f>
        <v>-</v>
      </c>
      <c r="M233" s="2" t="str">
        <f>IF(M$1&gt;$Z$4,"-",IF(COUNTIF($D$3:$D233,M$2)=$Z$3,"Full",SUMIFS($C$3:$C233,$D$3:$D233,M$2)))</f>
        <v>-</v>
      </c>
      <c r="N233" s="2" t="str">
        <f>IF(N$1&gt;$Z$4,"-",IF(COUNTIF($D$3:$D233,N$2)=$Z$3,"Full",SUMIFS($C$3:$C233,$D$3:$D233,N$2)))</f>
        <v>-</v>
      </c>
      <c r="O233" s="2" t="str">
        <f>IF(O$1&gt;$Z$4,"-",IF(COUNTIF($D$3:$D233,O$2)=$Z$3,"Full",SUMIFS($C$3:$C233,$D$3:$D233,O$2)))</f>
        <v>-</v>
      </c>
      <c r="P233" s="2" t="str">
        <f>IF(P$1&gt;$Z$4,"-",IF(COUNTIF($D$3:$D233,P$2)=$Z$3,"Full",SUMIFS($C$3:$C233,$D$3:$D233,P$2)))</f>
        <v>-</v>
      </c>
      <c r="Q233" s="2" t="str">
        <f>IF(Q$1&gt;$Z$4,"-",IF(COUNTIF($D$3:$D233,Q$2)=$Z$3,"Full",SUMIFS($C$3:$C233,$D$3:$D233,Q$2)))</f>
        <v>-</v>
      </c>
      <c r="R233" s="2" t="str">
        <f>IF(R$1&gt;$Z$4,"-",IF(COUNTIF($D$3:$D233,R$2)=$Z$3,"Full",SUMIFS($C$3:$C233,$D$3:$D233,R$2)))</f>
        <v>-</v>
      </c>
      <c r="S233" s="2" t="str">
        <f>IF(S$1&gt;$Z$4,"-",IF(COUNTIF($D$3:$D233,S$2)=$Z$3,"Full",SUMIFS($C$3:$C233,$D$3:$D233,S$2)))</f>
        <v>-</v>
      </c>
      <c r="T233" s="11" t="str">
        <f>IF(T$1&gt;$Z$4,"-",IF(COUNTIF($D$3:$D233,T$2)=$Z$3,"Full",SUMIFS($C$3:$C233,$D$3:$D233,T$2)))</f>
        <v>-</v>
      </c>
    </row>
    <row r="234" spans="1:20" x14ac:dyDescent="0.25">
      <c r="A234" s="10" t="str">
        <f t="shared" si="156"/>
        <v/>
      </c>
      <c r="D234" s="2" t="str" cm="1">
        <f t="array" aca="1" ref="D234" ca="1">IFERROR(_xlfn.XLOOKUP(MIN(E233:INDIRECT($AA$4&amp;A234+1)),E233:INDIRECT($AA$4&amp;A234+1),$E$2:INDIRECT($AA$4&amp;"$2")),"-")</f>
        <v>-</v>
      </c>
      <c r="E234" s="2" t="str">
        <f ca="1">IF(E$1&gt;$Z$4,"-",IF(COUNTIF($D$3:$D234,E$2)=$Z$3,"Full",SUMIFS($C$3:$C234,$D$3:$D234,E$2)))</f>
        <v>Full</v>
      </c>
      <c r="F234" s="2" t="str">
        <f>IF(F$1&gt;$Z$4,"-",IF(COUNTIF($D$3:$D234,F$2)=$Z$3,"Full",SUMIFS($C$3:$C234,$D$3:$D234,F$2)))</f>
        <v>-</v>
      </c>
      <c r="G234" s="2" t="str">
        <f>IF(G$1&gt;$Z$4,"-",IF(COUNTIF($D$3:$D234,G$2)=$Z$3,"Full",SUMIFS($C$3:$C234,$D$3:$D234,G$2)))</f>
        <v>-</v>
      </c>
      <c r="H234" s="2" t="str">
        <f>IF(H$1&gt;$Z$4,"-",IF(COUNTIF($D$3:$D234,H$2)=$Z$3,"Full",SUMIFS($C$3:$C234,$D$3:$D234,H$2)))</f>
        <v>-</v>
      </c>
      <c r="I234" s="2" t="str">
        <f>IF(I$1&gt;$Z$4,"-",IF(COUNTIF($D$3:$D234,I$2)=$Z$3,"Full",SUMIFS($C$3:$C234,$D$3:$D234,I$2)))</f>
        <v>-</v>
      </c>
      <c r="J234" s="2" t="str">
        <f>IF(J$1&gt;$Z$4,"-",IF(COUNTIF($D$3:$D234,J$2)=$Z$3,"Full",SUMIFS($C$3:$C234,$D$3:$D234,J$2)))</f>
        <v>-</v>
      </c>
      <c r="K234" s="2" t="str">
        <f>IF(K$1&gt;$Z$4,"-",IF(COUNTIF($D$3:$D234,K$2)=$Z$3,"Full",SUMIFS($C$3:$C234,$D$3:$D234,K$2)))</f>
        <v>-</v>
      </c>
      <c r="L234" s="2" t="str">
        <f>IF(L$1&gt;$Z$4,"-",IF(COUNTIF($D$3:$D234,L$2)=$Z$3,"Full",SUMIFS($C$3:$C234,$D$3:$D234,L$2)))</f>
        <v>-</v>
      </c>
      <c r="M234" s="2" t="str">
        <f>IF(M$1&gt;$Z$4,"-",IF(COUNTIF($D$3:$D234,M$2)=$Z$3,"Full",SUMIFS($C$3:$C234,$D$3:$D234,M$2)))</f>
        <v>-</v>
      </c>
      <c r="N234" s="2" t="str">
        <f>IF(N$1&gt;$Z$4,"-",IF(COUNTIF($D$3:$D234,N$2)=$Z$3,"Full",SUMIFS($C$3:$C234,$D$3:$D234,N$2)))</f>
        <v>-</v>
      </c>
      <c r="O234" s="2" t="str">
        <f>IF(O$1&gt;$Z$4,"-",IF(COUNTIF($D$3:$D234,O$2)=$Z$3,"Full",SUMIFS($C$3:$C234,$D$3:$D234,O$2)))</f>
        <v>-</v>
      </c>
      <c r="P234" s="2" t="str">
        <f>IF(P$1&gt;$Z$4,"-",IF(COUNTIF($D$3:$D234,P$2)=$Z$3,"Full",SUMIFS($C$3:$C234,$D$3:$D234,P$2)))</f>
        <v>-</v>
      </c>
      <c r="Q234" s="2" t="str">
        <f>IF(Q$1&gt;$Z$4,"-",IF(COUNTIF($D$3:$D234,Q$2)=$Z$3,"Full",SUMIFS($C$3:$C234,$D$3:$D234,Q$2)))</f>
        <v>-</v>
      </c>
      <c r="R234" s="2" t="str">
        <f>IF(R$1&gt;$Z$4,"-",IF(COUNTIF($D$3:$D234,R$2)=$Z$3,"Full",SUMIFS($C$3:$C234,$D$3:$D234,R$2)))</f>
        <v>-</v>
      </c>
      <c r="S234" s="2" t="str">
        <f>IF(S$1&gt;$Z$4,"-",IF(COUNTIF($D$3:$D234,S$2)=$Z$3,"Full",SUMIFS($C$3:$C234,$D$3:$D234,S$2)))</f>
        <v>-</v>
      </c>
      <c r="T234" s="11" t="str">
        <f>IF(T$1&gt;$Z$4,"-",IF(COUNTIF($D$3:$D234,T$2)=$Z$3,"Full",SUMIFS($C$3:$C234,$D$3:$D234,T$2)))</f>
        <v>-</v>
      </c>
    </row>
    <row r="235" spans="1:20" x14ac:dyDescent="0.25">
      <c r="A235" s="10" t="str">
        <f t="shared" si="156"/>
        <v/>
      </c>
      <c r="D235" s="2" t="str" cm="1">
        <f t="array" aca="1" ref="D235" ca="1">IFERROR(_xlfn.XLOOKUP(MIN(E234:INDIRECT($AA$4&amp;A235+1)),E234:INDIRECT($AA$4&amp;A235+1),$E$2:INDIRECT($AA$4&amp;"$2")),"-")</f>
        <v>-</v>
      </c>
      <c r="E235" s="2" t="str">
        <f ca="1">IF(E$1&gt;$Z$4,"-",IF(COUNTIF($D$3:$D235,E$2)=$Z$3,"Full",SUMIFS($C$3:$C235,$D$3:$D235,E$2)))</f>
        <v>Full</v>
      </c>
      <c r="F235" s="2" t="str">
        <f>IF(F$1&gt;$Z$4,"-",IF(COUNTIF($D$3:$D235,F$2)=$Z$3,"Full",SUMIFS($C$3:$C235,$D$3:$D235,F$2)))</f>
        <v>-</v>
      </c>
      <c r="G235" s="2" t="str">
        <f>IF(G$1&gt;$Z$4,"-",IF(COUNTIF($D$3:$D235,G$2)=$Z$3,"Full",SUMIFS($C$3:$C235,$D$3:$D235,G$2)))</f>
        <v>-</v>
      </c>
      <c r="H235" s="2" t="str">
        <f>IF(H$1&gt;$Z$4,"-",IF(COUNTIF($D$3:$D235,H$2)=$Z$3,"Full",SUMIFS($C$3:$C235,$D$3:$D235,H$2)))</f>
        <v>-</v>
      </c>
      <c r="I235" s="2" t="str">
        <f>IF(I$1&gt;$Z$4,"-",IF(COUNTIF($D$3:$D235,I$2)=$Z$3,"Full",SUMIFS($C$3:$C235,$D$3:$D235,I$2)))</f>
        <v>-</v>
      </c>
      <c r="J235" s="2" t="str">
        <f>IF(J$1&gt;$Z$4,"-",IF(COUNTIF($D$3:$D235,J$2)=$Z$3,"Full",SUMIFS($C$3:$C235,$D$3:$D235,J$2)))</f>
        <v>-</v>
      </c>
      <c r="K235" s="2" t="str">
        <f>IF(K$1&gt;$Z$4,"-",IF(COUNTIF($D$3:$D235,K$2)=$Z$3,"Full",SUMIFS($C$3:$C235,$D$3:$D235,K$2)))</f>
        <v>-</v>
      </c>
      <c r="L235" s="2" t="str">
        <f>IF(L$1&gt;$Z$4,"-",IF(COUNTIF($D$3:$D235,L$2)=$Z$3,"Full",SUMIFS($C$3:$C235,$D$3:$D235,L$2)))</f>
        <v>-</v>
      </c>
      <c r="M235" s="2" t="str">
        <f>IF(M$1&gt;$Z$4,"-",IF(COUNTIF($D$3:$D235,M$2)=$Z$3,"Full",SUMIFS($C$3:$C235,$D$3:$D235,M$2)))</f>
        <v>-</v>
      </c>
      <c r="N235" s="2" t="str">
        <f>IF(N$1&gt;$Z$4,"-",IF(COUNTIF($D$3:$D235,N$2)=$Z$3,"Full",SUMIFS($C$3:$C235,$D$3:$D235,N$2)))</f>
        <v>-</v>
      </c>
      <c r="O235" s="2" t="str">
        <f>IF(O$1&gt;$Z$4,"-",IF(COUNTIF($D$3:$D235,O$2)=$Z$3,"Full",SUMIFS($C$3:$C235,$D$3:$D235,O$2)))</f>
        <v>-</v>
      </c>
      <c r="P235" s="2" t="str">
        <f>IF(P$1&gt;$Z$4,"-",IF(COUNTIF($D$3:$D235,P$2)=$Z$3,"Full",SUMIFS($C$3:$C235,$D$3:$D235,P$2)))</f>
        <v>-</v>
      </c>
      <c r="Q235" s="2" t="str">
        <f>IF(Q$1&gt;$Z$4,"-",IF(COUNTIF($D$3:$D235,Q$2)=$Z$3,"Full",SUMIFS($C$3:$C235,$D$3:$D235,Q$2)))</f>
        <v>-</v>
      </c>
      <c r="R235" s="2" t="str">
        <f>IF(R$1&gt;$Z$4,"-",IF(COUNTIF($D$3:$D235,R$2)=$Z$3,"Full",SUMIFS($C$3:$C235,$D$3:$D235,R$2)))</f>
        <v>-</v>
      </c>
      <c r="S235" s="2" t="str">
        <f>IF(S$1&gt;$Z$4,"-",IF(COUNTIF($D$3:$D235,S$2)=$Z$3,"Full",SUMIFS($C$3:$C235,$D$3:$D235,S$2)))</f>
        <v>-</v>
      </c>
      <c r="T235" s="11" t="str">
        <f>IF(T$1&gt;$Z$4,"-",IF(COUNTIF($D$3:$D235,T$2)=$Z$3,"Full",SUMIFS($C$3:$C235,$D$3:$D235,T$2)))</f>
        <v>-</v>
      </c>
    </row>
    <row r="236" spans="1:20" x14ac:dyDescent="0.25">
      <c r="A236" s="10" t="str">
        <f t="shared" si="156"/>
        <v/>
      </c>
      <c r="D236" s="2" t="str" cm="1">
        <f t="array" aca="1" ref="D236" ca="1">IFERROR(_xlfn.XLOOKUP(MIN(E235:INDIRECT($AA$4&amp;A236+1)),E235:INDIRECT($AA$4&amp;A236+1),$E$2:INDIRECT($AA$4&amp;"$2")),"-")</f>
        <v>-</v>
      </c>
      <c r="E236" s="2" t="str">
        <f ca="1">IF(E$1&gt;$Z$4,"-",IF(COUNTIF($D$3:$D236,E$2)=$Z$3,"Full",SUMIFS($C$3:$C236,$D$3:$D236,E$2)))</f>
        <v>Full</v>
      </c>
      <c r="F236" s="2" t="str">
        <f>IF(F$1&gt;$Z$4,"-",IF(COUNTIF($D$3:$D236,F$2)=$Z$3,"Full",SUMIFS($C$3:$C236,$D$3:$D236,F$2)))</f>
        <v>-</v>
      </c>
      <c r="G236" s="2" t="str">
        <f>IF(G$1&gt;$Z$4,"-",IF(COUNTIF($D$3:$D236,G$2)=$Z$3,"Full",SUMIFS($C$3:$C236,$D$3:$D236,G$2)))</f>
        <v>-</v>
      </c>
      <c r="H236" s="2" t="str">
        <f>IF(H$1&gt;$Z$4,"-",IF(COUNTIF($D$3:$D236,H$2)=$Z$3,"Full",SUMIFS($C$3:$C236,$D$3:$D236,H$2)))</f>
        <v>-</v>
      </c>
      <c r="I236" s="2" t="str">
        <f>IF(I$1&gt;$Z$4,"-",IF(COUNTIF($D$3:$D236,I$2)=$Z$3,"Full",SUMIFS($C$3:$C236,$D$3:$D236,I$2)))</f>
        <v>-</v>
      </c>
      <c r="J236" s="2" t="str">
        <f>IF(J$1&gt;$Z$4,"-",IF(COUNTIF($D$3:$D236,J$2)=$Z$3,"Full",SUMIFS($C$3:$C236,$D$3:$D236,J$2)))</f>
        <v>-</v>
      </c>
      <c r="K236" s="2" t="str">
        <f>IF(K$1&gt;$Z$4,"-",IF(COUNTIF($D$3:$D236,K$2)=$Z$3,"Full",SUMIFS($C$3:$C236,$D$3:$D236,K$2)))</f>
        <v>-</v>
      </c>
      <c r="L236" s="2" t="str">
        <f>IF(L$1&gt;$Z$4,"-",IF(COUNTIF($D$3:$D236,L$2)=$Z$3,"Full",SUMIFS($C$3:$C236,$D$3:$D236,L$2)))</f>
        <v>-</v>
      </c>
      <c r="M236" s="2" t="str">
        <f>IF(M$1&gt;$Z$4,"-",IF(COUNTIF($D$3:$D236,M$2)=$Z$3,"Full",SUMIFS($C$3:$C236,$D$3:$D236,M$2)))</f>
        <v>-</v>
      </c>
      <c r="N236" s="2" t="str">
        <f>IF(N$1&gt;$Z$4,"-",IF(COUNTIF($D$3:$D236,N$2)=$Z$3,"Full",SUMIFS($C$3:$C236,$D$3:$D236,N$2)))</f>
        <v>-</v>
      </c>
      <c r="O236" s="2" t="str">
        <f>IF(O$1&gt;$Z$4,"-",IF(COUNTIF($D$3:$D236,O$2)=$Z$3,"Full",SUMIFS($C$3:$C236,$D$3:$D236,O$2)))</f>
        <v>-</v>
      </c>
      <c r="P236" s="2" t="str">
        <f>IF(P$1&gt;$Z$4,"-",IF(COUNTIF($D$3:$D236,P$2)=$Z$3,"Full",SUMIFS($C$3:$C236,$D$3:$D236,P$2)))</f>
        <v>-</v>
      </c>
      <c r="Q236" s="2" t="str">
        <f>IF(Q$1&gt;$Z$4,"-",IF(COUNTIF($D$3:$D236,Q$2)=$Z$3,"Full",SUMIFS($C$3:$C236,$D$3:$D236,Q$2)))</f>
        <v>-</v>
      </c>
      <c r="R236" s="2" t="str">
        <f>IF(R$1&gt;$Z$4,"-",IF(COUNTIF($D$3:$D236,R$2)=$Z$3,"Full",SUMIFS($C$3:$C236,$D$3:$D236,R$2)))</f>
        <v>-</v>
      </c>
      <c r="S236" s="2" t="str">
        <f>IF(S$1&gt;$Z$4,"-",IF(COUNTIF($D$3:$D236,S$2)=$Z$3,"Full",SUMIFS($C$3:$C236,$D$3:$D236,S$2)))</f>
        <v>-</v>
      </c>
      <c r="T236" s="11" t="str">
        <f>IF(T$1&gt;$Z$4,"-",IF(COUNTIF($D$3:$D236,T$2)=$Z$3,"Full",SUMIFS($C$3:$C236,$D$3:$D236,T$2)))</f>
        <v>-</v>
      </c>
    </row>
    <row r="237" spans="1:20" x14ac:dyDescent="0.25">
      <c r="A237" s="10" t="str">
        <f t="shared" si="156"/>
        <v/>
      </c>
      <c r="D237" s="2" t="str" cm="1">
        <f t="array" aca="1" ref="D237" ca="1">IFERROR(_xlfn.XLOOKUP(MIN(E236:INDIRECT($AA$4&amp;A237+1)),E236:INDIRECT($AA$4&amp;A237+1),$E$2:INDIRECT($AA$4&amp;"$2")),"-")</f>
        <v>-</v>
      </c>
      <c r="E237" s="2" t="str">
        <f ca="1">IF(E$1&gt;$Z$4,"-",IF(COUNTIF($D$3:$D237,E$2)=$Z$3,"Full",SUMIFS($C$3:$C237,$D$3:$D237,E$2)))</f>
        <v>Full</v>
      </c>
      <c r="F237" s="2" t="str">
        <f>IF(F$1&gt;$Z$4,"-",IF(COUNTIF($D$3:$D237,F$2)=$Z$3,"Full",SUMIFS($C$3:$C237,$D$3:$D237,F$2)))</f>
        <v>-</v>
      </c>
      <c r="G237" s="2" t="str">
        <f>IF(G$1&gt;$Z$4,"-",IF(COUNTIF($D$3:$D237,G$2)=$Z$3,"Full",SUMIFS($C$3:$C237,$D$3:$D237,G$2)))</f>
        <v>-</v>
      </c>
      <c r="H237" s="2" t="str">
        <f>IF(H$1&gt;$Z$4,"-",IF(COUNTIF($D$3:$D237,H$2)=$Z$3,"Full",SUMIFS($C$3:$C237,$D$3:$D237,H$2)))</f>
        <v>-</v>
      </c>
      <c r="I237" s="2" t="str">
        <f>IF(I$1&gt;$Z$4,"-",IF(COUNTIF($D$3:$D237,I$2)=$Z$3,"Full",SUMIFS($C$3:$C237,$D$3:$D237,I$2)))</f>
        <v>-</v>
      </c>
      <c r="J237" s="2" t="str">
        <f>IF(J$1&gt;$Z$4,"-",IF(COUNTIF($D$3:$D237,J$2)=$Z$3,"Full",SUMIFS($C$3:$C237,$D$3:$D237,J$2)))</f>
        <v>-</v>
      </c>
      <c r="K237" s="2" t="str">
        <f>IF(K$1&gt;$Z$4,"-",IF(COUNTIF($D$3:$D237,K$2)=$Z$3,"Full",SUMIFS($C$3:$C237,$D$3:$D237,K$2)))</f>
        <v>-</v>
      </c>
      <c r="L237" s="2" t="str">
        <f>IF(L$1&gt;$Z$4,"-",IF(COUNTIF($D$3:$D237,L$2)=$Z$3,"Full",SUMIFS($C$3:$C237,$D$3:$D237,L$2)))</f>
        <v>-</v>
      </c>
      <c r="M237" s="2" t="str">
        <f>IF(M$1&gt;$Z$4,"-",IF(COUNTIF($D$3:$D237,M$2)=$Z$3,"Full",SUMIFS($C$3:$C237,$D$3:$D237,M$2)))</f>
        <v>-</v>
      </c>
      <c r="N237" s="2" t="str">
        <f>IF(N$1&gt;$Z$4,"-",IF(COUNTIF($D$3:$D237,N$2)=$Z$3,"Full",SUMIFS($C$3:$C237,$D$3:$D237,N$2)))</f>
        <v>-</v>
      </c>
      <c r="O237" s="2" t="str">
        <f>IF(O$1&gt;$Z$4,"-",IF(COUNTIF($D$3:$D237,O$2)=$Z$3,"Full",SUMIFS($C$3:$C237,$D$3:$D237,O$2)))</f>
        <v>-</v>
      </c>
      <c r="P237" s="2" t="str">
        <f>IF(P$1&gt;$Z$4,"-",IF(COUNTIF($D$3:$D237,P$2)=$Z$3,"Full",SUMIFS($C$3:$C237,$D$3:$D237,P$2)))</f>
        <v>-</v>
      </c>
      <c r="Q237" s="2" t="str">
        <f>IF(Q$1&gt;$Z$4,"-",IF(COUNTIF($D$3:$D237,Q$2)=$Z$3,"Full",SUMIFS($C$3:$C237,$D$3:$D237,Q$2)))</f>
        <v>-</v>
      </c>
      <c r="R237" s="2" t="str">
        <f>IF(R$1&gt;$Z$4,"-",IF(COUNTIF($D$3:$D237,R$2)=$Z$3,"Full",SUMIFS($C$3:$C237,$D$3:$D237,R$2)))</f>
        <v>-</v>
      </c>
      <c r="S237" s="2" t="str">
        <f>IF(S$1&gt;$Z$4,"-",IF(COUNTIF($D$3:$D237,S$2)=$Z$3,"Full",SUMIFS($C$3:$C237,$D$3:$D237,S$2)))</f>
        <v>-</v>
      </c>
      <c r="T237" s="11" t="str">
        <f>IF(T$1&gt;$Z$4,"-",IF(COUNTIF($D$3:$D237,T$2)=$Z$3,"Full",SUMIFS($C$3:$C237,$D$3:$D237,T$2)))</f>
        <v>-</v>
      </c>
    </row>
    <row r="238" spans="1:20" x14ac:dyDescent="0.25">
      <c r="A238" s="10" t="str">
        <f t="shared" si="156"/>
        <v/>
      </c>
      <c r="D238" s="2" t="str" cm="1">
        <f t="array" aca="1" ref="D238" ca="1">IFERROR(_xlfn.XLOOKUP(MIN(E237:INDIRECT($AA$4&amp;A238+1)),E237:INDIRECT($AA$4&amp;A238+1),$E$2:INDIRECT($AA$4&amp;"$2")),"-")</f>
        <v>-</v>
      </c>
      <c r="E238" s="2" t="str">
        <f ca="1">IF(E$1&gt;$Z$4,"-",IF(COUNTIF($D$3:$D238,E$2)=$Z$3,"Full",SUMIFS($C$3:$C238,$D$3:$D238,E$2)))</f>
        <v>Full</v>
      </c>
      <c r="F238" s="2" t="str">
        <f>IF(F$1&gt;$Z$4,"-",IF(COUNTIF($D$3:$D238,F$2)=$Z$3,"Full",SUMIFS($C$3:$C238,$D$3:$D238,F$2)))</f>
        <v>-</v>
      </c>
      <c r="G238" s="2" t="str">
        <f>IF(G$1&gt;$Z$4,"-",IF(COUNTIF($D$3:$D238,G$2)=$Z$3,"Full",SUMIFS($C$3:$C238,$D$3:$D238,G$2)))</f>
        <v>-</v>
      </c>
      <c r="H238" s="2" t="str">
        <f>IF(H$1&gt;$Z$4,"-",IF(COUNTIF($D$3:$D238,H$2)=$Z$3,"Full",SUMIFS($C$3:$C238,$D$3:$D238,H$2)))</f>
        <v>-</v>
      </c>
      <c r="I238" s="2" t="str">
        <f>IF(I$1&gt;$Z$4,"-",IF(COUNTIF($D$3:$D238,I$2)=$Z$3,"Full",SUMIFS($C$3:$C238,$D$3:$D238,I$2)))</f>
        <v>-</v>
      </c>
      <c r="J238" s="2" t="str">
        <f>IF(J$1&gt;$Z$4,"-",IF(COUNTIF($D$3:$D238,J$2)=$Z$3,"Full",SUMIFS($C$3:$C238,$D$3:$D238,J$2)))</f>
        <v>-</v>
      </c>
      <c r="K238" s="2" t="str">
        <f>IF(K$1&gt;$Z$4,"-",IF(COUNTIF($D$3:$D238,K$2)=$Z$3,"Full",SUMIFS($C$3:$C238,$D$3:$D238,K$2)))</f>
        <v>-</v>
      </c>
      <c r="L238" s="2" t="str">
        <f>IF(L$1&gt;$Z$4,"-",IF(COUNTIF($D$3:$D238,L$2)=$Z$3,"Full",SUMIFS($C$3:$C238,$D$3:$D238,L$2)))</f>
        <v>-</v>
      </c>
      <c r="M238" s="2" t="str">
        <f>IF(M$1&gt;$Z$4,"-",IF(COUNTIF($D$3:$D238,M$2)=$Z$3,"Full",SUMIFS($C$3:$C238,$D$3:$D238,M$2)))</f>
        <v>-</v>
      </c>
      <c r="N238" s="2" t="str">
        <f>IF(N$1&gt;$Z$4,"-",IF(COUNTIF($D$3:$D238,N$2)=$Z$3,"Full",SUMIFS($C$3:$C238,$D$3:$D238,N$2)))</f>
        <v>-</v>
      </c>
      <c r="O238" s="2" t="str">
        <f>IF(O$1&gt;$Z$4,"-",IF(COUNTIF($D$3:$D238,O$2)=$Z$3,"Full",SUMIFS($C$3:$C238,$D$3:$D238,O$2)))</f>
        <v>-</v>
      </c>
      <c r="P238" s="2" t="str">
        <f>IF(P$1&gt;$Z$4,"-",IF(COUNTIF($D$3:$D238,P$2)=$Z$3,"Full",SUMIFS($C$3:$C238,$D$3:$D238,P$2)))</f>
        <v>-</v>
      </c>
      <c r="Q238" s="2" t="str">
        <f>IF(Q$1&gt;$Z$4,"-",IF(COUNTIF($D$3:$D238,Q$2)=$Z$3,"Full",SUMIFS($C$3:$C238,$D$3:$D238,Q$2)))</f>
        <v>-</v>
      </c>
      <c r="R238" s="2" t="str">
        <f>IF(R$1&gt;$Z$4,"-",IF(COUNTIF($D$3:$D238,R$2)=$Z$3,"Full",SUMIFS($C$3:$C238,$D$3:$D238,R$2)))</f>
        <v>-</v>
      </c>
      <c r="S238" s="2" t="str">
        <f>IF(S$1&gt;$Z$4,"-",IF(COUNTIF($D$3:$D238,S$2)=$Z$3,"Full",SUMIFS($C$3:$C238,$D$3:$D238,S$2)))</f>
        <v>-</v>
      </c>
      <c r="T238" s="11" t="str">
        <f>IF(T$1&gt;$Z$4,"-",IF(COUNTIF($D$3:$D238,T$2)=$Z$3,"Full",SUMIFS($C$3:$C238,$D$3:$D238,T$2)))</f>
        <v>-</v>
      </c>
    </row>
    <row r="239" spans="1:20" x14ac:dyDescent="0.25">
      <c r="A239" s="10" t="str">
        <f t="shared" si="156"/>
        <v/>
      </c>
      <c r="D239" s="2" t="str" cm="1">
        <f t="array" aca="1" ref="D239" ca="1">IFERROR(_xlfn.XLOOKUP(MIN(E238:INDIRECT($AA$4&amp;A239+1)),E238:INDIRECT($AA$4&amp;A239+1),$E$2:INDIRECT($AA$4&amp;"$2")),"-")</f>
        <v>-</v>
      </c>
      <c r="E239" s="2" t="str">
        <f ca="1">IF(E$1&gt;$Z$4,"-",IF(COUNTIF($D$3:$D239,E$2)=$Z$3,"Full",SUMIFS($C$3:$C239,$D$3:$D239,E$2)))</f>
        <v>Full</v>
      </c>
      <c r="F239" s="2" t="str">
        <f>IF(F$1&gt;$Z$4,"-",IF(COUNTIF($D$3:$D239,F$2)=$Z$3,"Full",SUMIFS($C$3:$C239,$D$3:$D239,F$2)))</f>
        <v>-</v>
      </c>
      <c r="G239" s="2" t="str">
        <f>IF(G$1&gt;$Z$4,"-",IF(COUNTIF($D$3:$D239,G$2)=$Z$3,"Full",SUMIFS($C$3:$C239,$D$3:$D239,G$2)))</f>
        <v>-</v>
      </c>
      <c r="H239" s="2" t="str">
        <f>IF(H$1&gt;$Z$4,"-",IF(COUNTIF($D$3:$D239,H$2)=$Z$3,"Full",SUMIFS($C$3:$C239,$D$3:$D239,H$2)))</f>
        <v>-</v>
      </c>
      <c r="I239" s="2" t="str">
        <f>IF(I$1&gt;$Z$4,"-",IF(COUNTIF($D$3:$D239,I$2)=$Z$3,"Full",SUMIFS($C$3:$C239,$D$3:$D239,I$2)))</f>
        <v>-</v>
      </c>
      <c r="J239" s="2" t="str">
        <f>IF(J$1&gt;$Z$4,"-",IF(COUNTIF($D$3:$D239,J$2)=$Z$3,"Full",SUMIFS($C$3:$C239,$D$3:$D239,J$2)))</f>
        <v>-</v>
      </c>
      <c r="K239" s="2" t="str">
        <f>IF(K$1&gt;$Z$4,"-",IF(COUNTIF($D$3:$D239,K$2)=$Z$3,"Full",SUMIFS($C$3:$C239,$D$3:$D239,K$2)))</f>
        <v>-</v>
      </c>
      <c r="L239" s="2" t="str">
        <f>IF(L$1&gt;$Z$4,"-",IF(COUNTIF($D$3:$D239,L$2)=$Z$3,"Full",SUMIFS($C$3:$C239,$D$3:$D239,L$2)))</f>
        <v>-</v>
      </c>
      <c r="M239" s="2" t="str">
        <f>IF(M$1&gt;$Z$4,"-",IF(COUNTIF($D$3:$D239,M$2)=$Z$3,"Full",SUMIFS($C$3:$C239,$D$3:$D239,M$2)))</f>
        <v>-</v>
      </c>
      <c r="N239" s="2" t="str">
        <f>IF(N$1&gt;$Z$4,"-",IF(COUNTIF($D$3:$D239,N$2)=$Z$3,"Full",SUMIFS($C$3:$C239,$D$3:$D239,N$2)))</f>
        <v>-</v>
      </c>
      <c r="O239" s="2" t="str">
        <f>IF(O$1&gt;$Z$4,"-",IF(COUNTIF($D$3:$D239,O$2)=$Z$3,"Full",SUMIFS($C$3:$C239,$D$3:$D239,O$2)))</f>
        <v>-</v>
      </c>
      <c r="P239" s="2" t="str">
        <f>IF(P$1&gt;$Z$4,"-",IF(COUNTIF($D$3:$D239,P$2)=$Z$3,"Full",SUMIFS($C$3:$C239,$D$3:$D239,P$2)))</f>
        <v>-</v>
      </c>
      <c r="Q239" s="2" t="str">
        <f>IF(Q$1&gt;$Z$4,"-",IF(COUNTIF($D$3:$D239,Q$2)=$Z$3,"Full",SUMIFS($C$3:$C239,$D$3:$D239,Q$2)))</f>
        <v>-</v>
      </c>
      <c r="R239" s="2" t="str">
        <f>IF(R$1&gt;$Z$4,"-",IF(COUNTIF($D$3:$D239,R$2)=$Z$3,"Full",SUMIFS($C$3:$C239,$D$3:$D239,R$2)))</f>
        <v>-</v>
      </c>
      <c r="S239" s="2" t="str">
        <f>IF(S$1&gt;$Z$4,"-",IF(COUNTIF($D$3:$D239,S$2)=$Z$3,"Full",SUMIFS($C$3:$C239,$D$3:$D239,S$2)))</f>
        <v>-</v>
      </c>
      <c r="T239" s="11" t="str">
        <f>IF(T$1&gt;$Z$4,"-",IF(COUNTIF($D$3:$D239,T$2)=$Z$3,"Full",SUMIFS($C$3:$C239,$D$3:$D239,T$2)))</f>
        <v>-</v>
      </c>
    </row>
    <row r="240" spans="1:20" x14ac:dyDescent="0.25">
      <c r="A240" s="10" t="str">
        <f t="shared" si="156"/>
        <v/>
      </c>
      <c r="D240" s="2" t="str" cm="1">
        <f t="array" aca="1" ref="D240" ca="1">IFERROR(_xlfn.XLOOKUP(MIN(E239:INDIRECT($AA$4&amp;A240+1)),E239:INDIRECT($AA$4&amp;A240+1),$E$2:INDIRECT($AA$4&amp;"$2")),"-")</f>
        <v>-</v>
      </c>
      <c r="E240" s="2" t="str">
        <f ca="1">IF(E$1&gt;$Z$4,"-",IF(COUNTIF($D$3:$D240,E$2)=$Z$3,"Full",SUMIFS($C$3:$C240,$D$3:$D240,E$2)))</f>
        <v>Full</v>
      </c>
      <c r="F240" s="2" t="str">
        <f>IF(F$1&gt;$Z$4,"-",IF(COUNTIF($D$3:$D240,F$2)=$Z$3,"Full",SUMIFS($C$3:$C240,$D$3:$D240,F$2)))</f>
        <v>-</v>
      </c>
      <c r="G240" s="2" t="str">
        <f>IF(G$1&gt;$Z$4,"-",IF(COUNTIF($D$3:$D240,G$2)=$Z$3,"Full",SUMIFS($C$3:$C240,$D$3:$D240,G$2)))</f>
        <v>-</v>
      </c>
      <c r="H240" s="2" t="str">
        <f>IF(H$1&gt;$Z$4,"-",IF(COUNTIF($D$3:$D240,H$2)=$Z$3,"Full",SUMIFS($C$3:$C240,$D$3:$D240,H$2)))</f>
        <v>-</v>
      </c>
      <c r="I240" s="2" t="str">
        <f>IF(I$1&gt;$Z$4,"-",IF(COUNTIF($D$3:$D240,I$2)=$Z$3,"Full",SUMIFS($C$3:$C240,$D$3:$D240,I$2)))</f>
        <v>-</v>
      </c>
      <c r="J240" s="2" t="str">
        <f>IF(J$1&gt;$Z$4,"-",IF(COUNTIF($D$3:$D240,J$2)=$Z$3,"Full",SUMIFS($C$3:$C240,$D$3:$D240,J$2)))</f>
        <v>-</v>
      </c>
      <c r="K240" s="2" t="str">
        <f>IF(K$1&gt;$Z$4,"-",IF(COUNTIF($D$3:$D240,K$2)=$Z$3,"Full",SUMIFS($C$3:$C240,$D$3:$D240,K$2)))</f>
        <v>-</v>
      </c>
      <c r="L240" s="2" t="str">
        <f>IF(L$1&gt;$Z$4,"-",IF(COUNTIF($D$3:$D240,L$2)=$Z$3,"Full",SUMIFS($C$3:$C240,$D$3:$D240,L$2)))</f>
        <v>-</v>
      </c>
      <c r="M240" s="2" t="str">
        <f>IF(M$1&gt;$Z$4,"-",IF(COUNTIF($D$3:$D240,M$2)=$Z$3,"Full",SUMIFS($C$3:$C240,$D$3:$D240,M$2)))</f>
        <v>-</v>
      </c>
      <c r="N240" s="2" t="str">
        <f>IF(N$1&gt;$Z$4,"-",IF(COUNTIF($D$3:$D240,N$2)=$Z$3,"Full",SUMIFS($C$3:$C240,$D$3:$D240,N$2)))</f>
        <v>-</v>
      </c>
      <c r="O240" s="2" t="str">
        <f>IF(O$1&gt;$Z$4,"-",IF(COUNTIF($D$3:$D240,O$2)=$Z$3,"Full",SUMIFS($C$3:$C240,$D$3:$D240,O$2)))</f>
        <v>-</v>
      </c>
      <c r="P240" s="2" t="str">
        <f>IF(P$1&gt;$Z$4,"-",IF(COUNTIF($D$3:$D240,P$2)=$Z$3,"Full",SUMIFS($C$3:$C240,$D$3:$D240,P$2)))</f>
        <v>-</v>
      </c>
      <c r="Q240" s="2" t="str">
        <f>IF(Q$1&gt;$Z$4,"-",IF(COUNTIF($D$3:$D240,Q$2)=$Z$3,"Full",SUMIFS($C$3:$C240,$D$3:$D240,Q$2)))</f>
        <v>-</v>
      </c>
      <c r="R240" s="2" t="str">
        <f>IF(R$1&gt;$Z$4,"-",IF(COUNTIF($D$3:$D240,R$2)=$Z$3,"Full",SUMIFS($C$3:$C240,$D$3:$D240,R$2)))</f>
        <v>-</v>
      </c>
      <c r="S240" s="2" t="str">
        <f>IF(S$1&gt;$Z$4,"-",IF(COUNTIF($D$3:$D240,S$2)=$Z$3,"Full",SUMIFS($C$3:$C240,$D$3:$D240,S$2)))</f>
        <v>-</v>
      </c>
      <c r="T240" s="11" t="str">
        <f>IF(T$1&gt;$Z$4,"-",IF(COUNTIF($D$3:$D240,T$2)=$Z$3,"Full",SUMIFS($C$3:$C240,$D$3:$D240,T$2)))</f>
        <v>-</v>
      </c>
    </row>
    <row r="241" spans="1:20" x14ac:dyDescent="0.25">
      <c r="A241" s="10" t="str">
        <f t="shared" si="156"/>
        <v/>
      </c>
      <c r="D241" s="2" t="str" cm="1">
        <f t="array" aca="1" ref="D241" ca="1">IFERROR(_xlfn.XLOOKUP(MIN(E240:INDIRECT($AA$4&amp;A241+1)),E240:INDIRECT($AA$4&amp;A241+1),$E$2:INDIRECT($AA$4&amp;"$2")),"-")</f>
        <v>-</v>
      </c>
      <c r="E241" s="2" t="str">
        <f ca="1">IF(E$1&gt;$Z$4,"-",IF(COUNTIF($D$3:$D241,E$2)=$Z$3,"Full",SUMIFS($C$3:$C241,$D$3:$D241,E$2)))</f>
        <v>Full</v>
      </c>
      <c r="F241" s="2" t="str">
        <f>IF(F$1&gt;$Z$4,"-",IF(COUNTIF($D$3:$D241,F$2)=$Z$3,"Full",SUMIFS($C$3:$C241,$D$3:$D241,F$2)))</f>
        <v>-</v>
      </c>
      <c r="G241" s="2" t="str">
        <f>IF(G$1&gt;$Z$4,"-",IF(COUNTIF($D$3:$D241,G$2)=$Z$3,"Full",SUMIFS($C$3:$C241,$D$3:$D241,G$2)))</f>
        <v>-</v>
      </c>
      <c r="H241" s="2" t="str">
        <f>IF(H$1&gt;$Z$4,"-",IF(COUNTIF($D$3:$D241,H$2)=$Z$3,"Full",SUMIFS($C$3:$C241,$D$3:$D241,H$2)))</f>
        <v>-</v>
      </c>
      <c r="I241" s="2" t="str">
        <f>IF(I$1&gt;$Z$4,"-",IF(COUNTIF($D$3:$D241,I$2)=$Z$3,"Full",SUMIFS($C$3:$C241,$D$3:$D241,I$2)))</f>
        <v>-</v>
      </c>
      <c r="J241" s="2" t="str">
        <f>IF(J$1&gt;$Z$4,"-",IF(COUNTIF($D$3:$D241,J$2)=$Z$3,"Full",SUMIFS($C$3:$C241,$D$3:$D241,J$2)))</f>
        <v>-</v>
      </c>
      <c r="K241" s="2" t="str">
        <f>IF(K$1&gt;$Z$4,"-",IF(COUNTIF($D$3:$D241,K$2)=$Z$3,"Full",SUMIFS($C$3:$C241,$D$3:$D241,K$2)))</f>
        <v>-</v>
      </c>
      <c r="L241" s="2" t="str">
        <f>IF(L$1&gt;$Z$4,"-",IF(COUNTIF($D$3:$D241,L$2)=$Z$3,"Full",SUMIFS($C$3:$C241,$D$3:$D241,L$2)))</f>
        <v>-</v>
      </c>
      <c r="M241" s="2" t="str">
        <f>IF(M$1&gt;$Z$4,"-",IF(COUNTIF($D$3:$D241,M$2)=$Z$3,"Full",SUMIFS($C$3:$C241,$D$3:$D241,M$2)))</f>
        <v>-</v>
      </c>
      <c r="N241" s="2" t="str">
        <f>IF(N$1&gt;$Z$4,"-",IF(COUNTIF($D$3:$D241,N$2)=$Z$3,"Full",SUMIFS($C$3:$C241,$D$3:$D241,N$2)))</f>
        <v>-</v>
      </c>
      <c r="O241" s="2" t="str">
        <f>IF(O$1&gt;$Z$4,"-",IF(COUNTIF($D$3:$D241,O$2)=$Z$3,"Full",SUMIFS($C$3:$C241,$D$3:$D241,O$2)))</f>
        <v>-</v>
      </c>
      <c r="P241" s="2" t="str">
        <f>IF(P$1&gt;$Z$4,"-",IF(COUNTIF($D$3:$D241,P$2)=$Z$3,"Full",SUMIFS($C$3:$C241,$D$3:$D241,P$2)))</f>
        <v>-</v>
      </c>
      <c r="Q241" s="2" t="str">
        <f>IF(Q$1&gt;$Z$4,"-",IF(COUNTIF($D$3:$D241,Q$2)=$Z$3,"Full",SUMIFS($C$3:$C241,$D$3:$D241,Q$2)))</f>
        <v>-</v>
      </c>
      <c r="R241" s="2" t="str">
        <f>IF(R$1&gt;$Z$4,"-",IF(COUNTIF($D$3:$D241,R$2)=$Z$3,"Full",SUMIFS($C$3:$C241,$D$3:$D241,R$2)))</f>
        <v>-</v>
      </c>
      <c r="S241" s="2" t="str">
        <f>IF(S$1&gt;$Z$4,"-",IF(COUNTIF($D$3:$D241,S$2)=$Z$3,"Full",SUMIFS($C$3:$C241,$D$3:$D241,S$2)))</f>
        <v>-</v>
      </c>
      <c r="T241" s="11" t="str">
        <f>IF(T$1&gt;$Z$4,"-",IF(COUNTIF($D$3:$D241,T$2)=$Z$3,"Full",SUMIFS($C$3:$C241,$D$3:$D241,T$2)))</f>
        <v>-</v>
      </c>
    </row>
    <row r="242" spans="1:20" x14ac:dyDescent="0.25">
      <c r="A242" s="10" t="str">
        <f t="shared" si="156"/>
        <v/>
      </c>
      <c r="D242" s="2" t="str" cm="1">
        <f t="array" aca="1" ref="D242" ca="1">IFERROR(_xlfn.XLOOKUP(MIN(E241:INDIRECT($AA$4&amp;A242+1)),E241:INDIRECT($AA$4&amp;A242+1),$E$2:INDIRECT($AA$4&amp;"$2")),"-")</f>
        <v>-</v>
      </c>
      <c r="E242" s="2" t="str">
        <f ca="1">IF(E$1&gt;$Z$4,"-",IF(COUNTIF($D$3:$D242,E$2)=$Z$3,"Full",SUMIFS($C$3:$C242,$D$3:$D242,E$2)))</f>
        <v>Full</v>
      </c>
      <c r="F242" s="2" t="str">
        <f>IF(F$1&gt;$Z$4,"-",IF(COUNTIF($D$3:$D242,F$2)=$Z$3,"Full",SUMIFS($C$3:$C242,$D$3:$D242,F$2)))</f>
        <v>-</v>
      </c>
      <c r="G242" s="2" t="str">
        <f>IF(G$1&gt;$Z$4,"-",IF(COUNTIF($D$3:$D242,G$2)=$Z$3,"Full",SUMIFS($C$3:$C242,$D$3:$D242,G$2)))</f>
        <v>-</v>
      </c>
      <c r="H242" s="2" t="str">
        <f>IF(H$1&gt;$Z$4,"-",IF(COUNTIF($D$3:$D242,H$2)=$Z$3,"Full",SUMIFS($C$3:$C242,$D$3:$D242,H$2)))</f>
        <v>-</v>
      </c>
      <c r="I242" s="2" t="str">
        <f>IF(I$1&gt;$Z$4,"-",IF(COUNTIF($D$3:$D242,I$2)=$Z$3,"Full",SUMIFS($C$3:$C242,$D$3:$D242,I$2)))</f>
        <v>-</v>
      </c>
      <c r="J242" s="2" t="str">
        <f>IF(J$1&gt;$Z$4,"-",IF(COUNTIF($D$3:$D242,J$2)=$Z$3,"Full",SUMIFS($C$3:$C242,$D$3:$D242,J$2)))</f>
        <v>-</v>
      </c>
      <c r="K242" s="2" t="str">
        <f>IF(K$1&gt;$Z$4,"-",IF(COUNTIF($D$3:$D242,K$2)=$Z$3,"Full",SUMIFS($C$3:$C242,$D$3:$D242,K$2)))</f>
        <v>-</v>
      </c>
      <c r="L242" s="2" t="str">
        <f>IF(L$1&gt;$Z$4,"-",IF(COUNTIF($D$3:$D242,L$2)=$Z$3,"Full",SUMIFS($C$3:$C242,$D$3:$D242,L$2)))</f>
        <v>-</v>
      </c>
      <c r="M242" s="2" t="str">
        <f>IF(M$1&gt;$Z$4,"-",IF(COUNTIF($D$3:$D242,M$2)=$Z$3,"Full",SUMIFS($C$3:$C242,$D$3:$D242,M$2)))</f>
        <v>-</v>
      </c>
      <c r="N242" s="2" t="str">
        <f>IF(N$1&gt;$Z$4,"-",IF(COUNTIF($D$3:$D242,N$2)=$Z$3,"Full",SUMIFS($C$3:$C242,$D$3:$D242,N$2)))</f>
        <v>-</v>
      </c>
      <c r="O242" s="2" t="str">
        <f>IF(O$1&gt;$Z$4,"-",IF(COUNTIF($D$3:$D242,O$2)=$Z$3,"Full",SUMIFS($C$3:$C242,$D$3:$D242,O$2)))</f>
        <v>-</v>
      </c>
      <c r="P242" s="2" t="str">
        <f>IF(P$1&gt;$Z$4,"-",IF(COUNTIF($D$3:$D242,P$2)=$Z$3,"Full",SUMIFS($C$3:$C242,$D$3:$D242,P$2)))</f>
        <v>-</v>
      </c>
      <c r="Q242" s="2" t="str">
        <f>IF(Q$1&gt;$Z$4,"-",IF(COUNTIF($D$3:$D242,Q$2)=$Z$3,"Full",SUMIFS($C$3:$C242,$D$3:$D242,Q$2)))</f>
        <v>-</v>
      </c>
      <c r="R242" s="2" t="str">
        <f>IF(R$1&gt;$Z$4,"-",IF(COUNTIF($D$3:$D242,R$2)=$Z$3,"Full",SUMIFS($C$3:$C242,$D$3:$D242,R$2)))</f>
        <v>-</v>
      </c>
      <c r="S242" s="2" t="str">
        <f>IF(S$1&gt;$Z$4,"-",IF(COUNTIF($D$3:$D242,S$2)=$Z$3,"Full",SUMIFS($C$3:$C242,$D$3:$D242,S$2)))</f>
        <v>-</v>
      </c>
      <c r="T242" s="11" t="str">
        <f>IF(T$1&gt;$Z$4,"-",IF(COUNTIF($D$3:$D242,T$2)=$Z$3,"Full",SUMIFS($C$3:$C242,$D$3:$D242,T$2)))</f>
        <v>-</v>
      </c>
    </row>
    <row r="243" spans="1:20" x14ac:dyDescent="0.25">
      <c r="A243" s="10" t="str">
        <f t="shared" si="156"/>
        <v/>
      </c>
      <c r="D243" s="2" t="str" cm="1">
        <f t="array" aca="1" ref="D243" ca="1">IFERROR(_xlfn.XLOOKUP(MIN(E242:INDIRECT($AA$4&amp;A243+1)),E242:INDIRECT($AA$4&amp;A243+1),$E$2:INDIRECT($AA$4&amp;"$2")),"-")</f>
        <v>-</v>
      </c>
      <c r="E243" s="2" t="str">
        <f ca="1">IF(E$1&gt;$Z$4,"-",IF(COUNTIF($D$3:$D243,E$2)=$Z$3,"Full",SUMIFS($C$3:$C243,$D$3:$D243,E$2)))</f>
        <v>Full</v>
      </c>
      <c r="F243" s="2" t="str">
        <f>IF(F$1&gt;$Z$4,"-",IF(COUNTIF($D$3:$D243,F$2)=$Z$3,"Full",SUMIFS($C$3:$C243,$D$3:$D243,F$2)))</f>
        <v>-</v>
      </c>
      <c r="G243" s="2" t="str">
        <f>IF(G$1&gt;$Z$4,"-",IF(COUNTIF($D$3:$D243,G$2)=$Z$3,"Full",SUMIFS($C$3:$C243,$D$3:$D243,G$2)))</f>
        <v>-</v>
      </c>
      <c r="H243" s="2" t="str">
        <f>IF(H$1&gt;$Z$4,"-",IF(COUNTIF($D$3:$D243,H$2)=$Z$3,"Full",SUMIFS($C$3:$C243,$D$3:$D243,H$2)))</f>
        <v>-</v>
      </c>
      <c r="I243" s="2" t="str">
        <f>IF(I$1&gt;$Z$4,"-",IF(COUNTIF($D$3:$D243,I$2)=$Z$3,"Full",SUMIFS($C$3:$C243,$D$3:$D243,I$2)))</f>
        <v>-</v>
      </c>
      <c r="J243" s="2" t="str">
        <f>IF(J$1&gt;$Z$4,"-",IF(COUNTIF($D$3:$D243,J$2)=$Z$3,"Full",SUMIFS($C$3:$C243,$D$3:$D243,J$2)))</f>
        <v>-</v>
      </c>
      <c r="K243" s="2" t="str">
        <f>IF(K$1&gt;$Z$4,"-",IF(COUNTIF($D$3:$D243,K$2)=$Z$3,"Full",SUMIFS($C$3:$C243,$D$3:$D243,K$2)))</f>
        <v>-</v>
      </c>
      <c r="L243" s="2" t="str">
        <f>IF(L$1&gt;$Z$4,"-",IF(COUNTIF($D$3:$D243,L$2)=$Z$3,"Full",SUMIFS($C$3:$C243,$D$3:$D243,L$2)))</f>
        <v>-</v>
      </c>
      <c r="M243" s="2" t="str">
        <f>IF(M$1&gt;$Z$4,"-",IF(COUNTIF($D$3:$D243,M$2)=$Z$3,"Full",SUMIFS($C$3:$C243,$D$3:$D243,M$2)))</f>
        <v>-</v>
      </c>
      <c r="N243" s="2" t="str">
        <f>IF(N$1&gt;$Z$4,"-",IF(COUNTIF($D$3:$D243,N$2)=$Z$3,"Full",SUMIFS($C$3:$C243,$D$3:$D243,N$2)))</f>
        <v>-</v>
      </c>
      <c r="O243" s="2" t="str">
        <f>IF(O$1&gt;$Z$4,"-",IF(COUNTIF($D$3:$D243,O$2)=$Z$3,"Full",SUMIFS($C$3:$C243,$D$3:$D243,O$2)))</f>
        <v>-</v>
      </c>
      <c r="P243" s="2" t="str">
        <f>IF(P$1&gt;$Z$4,"-",IF(COUNTIF($D$3:$D243,P$2)=$Z$3,"Full",SUMIFS($C$3:$C243,$D$3:$D243,P$2)))</f>
        <v>-</v>
      </c>
      <c r="Q243" s="2" t="str">
        <f>IF(Q$1&gt;$Z$4,"-",IF(COUNTIF($D$3:$D243,Q$2)=$Z$3,"Full",SUMIFS($C$3:$C243,$D$3:$D243,Q$2)))</f>
        <v>-</v>
      </c>
      <c r="R243" s="2" t="str">
        <f>IF(R$1&gt;$Z$4,"-",IF(COUNTIF($D$3:$D243,R$2)=$Z$3,"Full",SUMIFS($C$3:$C243,$D$3:$D243,R$2)))</f>
        <v>-</v>
      </c>
      <c r="S243" s="2" t="str">
        <f>IF(S$1&gt;$Z$4,"-",IF(COUNTIF($D$3:$D243,S$2)=$Z$3,"Full",SUMIFS($C$3:$C243,$D$3:$D243,S$2)))</f>
        <v>-</v>
      </c>
      <c r="T243" s="11" t="str">
        <f>IF(T$1&gt;$Z$4,"-",IF(COUNTIF($D$3:$D243,T$2)=$Z$3,"Full",SUMIFS($C$3:$C243,$D$3:$D243,T$2)))</f>
        <v>-</v>
      </c>
    </row>
    <row r="244" spans="1:20" x14ac:dyDescent="0.25">
      <c r="A244" s="10" t="str">
        <f t="shared" si="156"/>
        <v/>
      </c>
      <c r="D244" s="2" t="str" cm="1">
        <f t="array" aca="1" ref="D244" ca="1">IFERROR(_xlfn.XLOOKUP(MIN(E243:INDIRECT($AA$4&amp;A244+1)),E243:INDIRECT($AA$4&amp;A244+1),$E$2:INDIRECT($AA$4&amp;"$2")),"-")</f>
        <v>-</v>
      </c>
      <c r="E244" s="2" t="str">
        <f ca="1">IF(E$1&gt;$Z$4,"-",IF(COUNTIF($D$3:$D244,E$2)=$Z$3,"Full",SUMIFS($C$3:$C244,$D$3:$D244,E$2)))</f>
        <v>Full</v>
      </c>
      <c r="F244" s="2" t="str">
        <f>IF(F$1&gt;$Z$4,"-",IF(COUNTIF($D$3:$D244,F$2)=$Z$3,"Full",SUMIFS($C$3:$C244,$D$3:$D244,F$2)))</f>
        <v>-</v>
      </c>
      <c r="G244" s="2" t="str">
        <f>IF(G$1&gt;$Z$4,"-",IF(COUNTIF($D$3:$D244,G$2)=$Z$3,"Full",SUMIFS($C$3:$C244,$D$3:$D244,G$2)))</f>
        <v>-</v>
      </c>
      <c r="H244" s="2" t="str">
        <f>IF(H$1&gt;$Z$4,"-",IF(COUNTIF($D$3:$D244,H$2)=$Z$3,"Full",SUMIFS($C$3:$C244,$D$3:$D244,H$2)))</f>
        <v>-</v>
      </c>
      <c r="I244" s="2" t="str">
        <f>IF(I$1&gt;$Z$4,"-",IF(COUNTIF($D$3:$D244,I$2)=$Z$3,"Full",SUMIFS($C$3:$C244,$D$3:$D244,I$2)))</f>
        <v>-</v>
      </c>
      <c r="J244" s="2" t="str">
        <f>IF(J$1&gt;$Z$4,"-",IF(COUNTIF($D$3:$D244,J$2)=$Z$3,"Full",SUMIFS($C$3:$C244,$D$3:$D244,J$2)))</f>
        <v>-</v>
      </c>
      <c r="K244" s="2" t="str">
        <f>IF(K$1&gt;$Z$4,"-",IF(COUNTIF($D$3:$D244,K$2)=$Z$3,"Full",SUMIFS($C$3:$C244,$D$3:$D244,K$2)))</f>
        <v>-</v>
      </c>
      <c r="L244" s="2" t="str">
        <f>IF(L$1&gt;$Z$4,"-",IF(COUNTIF($D$3:$D244,L$2)=$Z$3,"Full",SUMIFS($C$3:$C244,$D$3:$D244,L$2)))</f>
        <v>-</v>
      </c>
      <c r="M244" s="2" t="str">
        <f>IF(M$1&gt;$Z$4,"-",IF(COUNTIF($D$3:$D244,M$2)=$Z$3,"Full",SUMIFS($C$3:$C244,$D$3:$D244,M$2)))</f>
        <v>-</v>
      </c>
      <c r="N244" s="2" t="str">
        <f>IF(N$1&gt;$Z$4,"-",IF(COUNTIF($D$3:$D244,N$2)=$Z$3,"Full",SUMIFS($C$3:$C244,$D$3:$D244,N$2)))</f>
        <v>-</v>
      </c>
      <c r="O244" s="2" t="str">
        <f>IF(O$1&gt;$Z$4,"-",IF(COUNTIF($D$3:$D244,O$2)=$Z$3,"Full",SUMIFS($C$3:$C244,$D$3:$D244,O$2)))</f>
        <v>-</v>
      </c>
      <c r="P244" s="2" t="str">
        <f>IF(P$1&gt;$Z$4,"-",IF(COUNTIF($D$3:$D244,P$2)=$Z$3,"Full",SUMIFS($C$3:$C244,$D$3:$D244,P$2)))</f>
        <v>-</v>
      </c>
      <c r="Q244" s="2" t="str">
        <f>IF(Q$1&gt;$Z$4,"-",IF(COUNTIF($D$3:$D244,Q$2)=$Z$3,"Full",SUMIFS($C$3:$C244,$D$3:$D244,Q$2)))</f>
        <v>-</v>
      </c>
      <c r="R244" s="2" t="str">
        <f>IF(R$1&gt;$Z$4,"-",IF(COUNTIF($D$3:$D244,R$2)=$Z$3,"Full",SUMIFS($C$3:$C244,$D$3:$D244,R$2)))</f>
        <v>-</v>
      </c>
      <c r="S244" s="2" t="str">
        <f>IF(S$1&gt;$Z$4,"-",IF(COUNTIF($D$3:$D244,S$2)=$Z$3,"Full",SUMIFS($C$3:$C244,$D$3:$D244,S$2)))</f>
        <v>-</v>
      </c>
      <c r="T244" s="11" t="str">
        <f>IF(T$1&gt;$Z$4,"-",IF(COUNTIF($D$3:$D244,T$2)=$Z$3,"Full",SUMIFS($C$3:$C244,$D$3:$D244,T$2)))</f>
        <v>-</v>
      </c>
    </row>
    <row r="245" spans="1:20" x14ac:dyDescent="0.25">
      <c r="A245" s="10" t="str">
        <f t="shared" si="156"/>
        <v/>
      </c>
      <c r="D245" s="2" t="str" cm="1">
        <f t="array" aca="1" ref="D245" ca="1">IFERROR(_xlfn.XLOOKUP(MIN(E244:INDIRECT($AA$4&amp;A245+1)),E244:INDIRECT($AA$4&amp;A245+1),$E$2:INDIRECT($AA$4&amp;"$2")),"-")</f>
        <v>-</v>
      </c>
      <c r="E245" s="2" t="str">
        <f ca="1">IF(E$1&gt;$Z$4,"-",IF(COUNTIF($D$3:$D245,E$2)=$Z$3,"Full",SUMIFS($C$3:$C245,$D$3:$D245,E$2)))</f>
        <v>Full</v>
      </c>
      <c r="F245" s="2" t="str">
        <f>IF(F$1&gt;$Z$4,"-",IF(COUNTIF($D$3:$D245,F$2)=$Z$3,"Full",SUMIFS($C$3:$C245,$D$3:$D245,F$2)))</f>
        <v>-</v>
      </c>
      <c r="G245" s="2" t="str">
        <f>IF(G$1&gt;$Z$4,"-",IF(COUNTIF($D$3:$D245,G$2)=$Z$3,"Full",SUMIFS($C$3:$C245,$D$3:$D245,G$2)))</f>
        <v>-</v>
      </c>
      <c r="H245" s="2" t="str">
        <f>IF(H$1&gt;$Z$4,"-",IF(COUNTIF($D$3:$D245,H$2)=$Z$3,"Full",SUMIFS($C$3:$C245,$D$3:$D245,H$2)))</f>
        <v>-</v>
      </c>
      <c r="I245" s="2" t="str">
        <f>IF(I$1&gt;$Z$4,"-",IF(COUNTIF($D$3:$D245,I$2)=$Z$3,"Full",SUMIFS($C$3:$C245,$D$3:$D245,I$2)))</f>
        <v>-</v>
      </c>
      <c r="J245" s="2" t="str">
        <f>IF(J$1&gt;$Z$4,"-",IF(COUNTIF($D$3:$D245,J$2)=$Z$3,"Full",SUMIFS($C$3:$C245,$D$3:$D245,J$2)))</f>
        <v>-</v>
      </c>
      <c r="K245" s="2" t="str">
        <f>IF(K$1&gt;$Z$4,"-",IF(COUNTIF($D$3:$D245,K$2)=$Z$3,"Full",SUMIFS($C$3:$C245,$D$3:$D245,K$2)))</f>
        <v>-</v>
      </c>
      <c r="L245" s="2" t="str">
        <f>IF(L$1&gt;$Z$4,"-",IF(COUNTIF($D$3:$D245,L$2)=$Z$3,"Full",SUMIFS($C$3:$C245,$D$3:$D245,L$2)))</f>
        <v>-</v>
      </c>
      <c r="M245" s="2" t="str">
        <f>IF(M$1&gt;$Z$4,"-",IF(COUNTIF($D$3:$D245,M$2)=$Z$3,"Full",SUMIFS($C$3:$C245,$D$3:$D245,M$2)))</f>
        <v>-</v>
      </c>
      <c r="N245" s="2" t="str">
        <f>IF(N$1&gt;$Z$4,"-",IF(COUNTIF($D$3:$D245,N$2)=$Z$3,"Full",SUMIFS($C$3:$C245,$D$3:$D245,N$2)))</f>
        <v>-</v>
      </c>
      <c r="O245" s="2" t="str">
        <f>IF(O$1&gt;$Z$4,"-",IF(COUNTIF($D$3:$D245,O$2)=$Z$3,"Full",SUMIFS($C$3:$C245,$D$3:$D245,O$2)))</f>
        <v>-</v>
      </c>
      <c r="P245" s="2" t="str">
        <f>IF(P$1&gt;$Z$4,"-",IF(COUNTIF($D$3:$D245,P$2)=$Z$3,"Full",SUMIFS($C$3:$C245,$D$3:$D245,P$2)))</f>
        <v>-</v>
      </c>
      <c r="Q245" s="2" t="str">
        <f>IF(Q$1&gt;$Z$4,"-",IF(COUNTIF($D$3:$D245,Q$2)=$Z$3,"Full",SUMIFS($C$3:$C245,$D$3:$D245,Q$2)))</f>
        <v>-</v>
      </c>
      <c r="R245" s="2" t="str">
        <f>IF(R$1&gt;$Z$4,"-",IF(COUNTIF($D$3:$D245,R$2)=$Z$3,"Full",SUMIFS($C$3:$C245,$D$3:$D245,R$2)))</f>
        <v>-</v>
      </c>
      <c r="S245" s="2" t="str">
        <f>IF(S$1&gt;$Z$4,"-",IF(COUNTIF($D$3:$D245,S$2)=$Z$3,"Full",SUMIFS($C$3:$C245,$D$3:$D245,S$2)))</f>
        <v>-</v>
      </c>
      <c r="T245" s="11" t="str">
        <f>IF(T$1&gt;$Z$4,"-",IF(COUNTIF($D$3:$D245,T$2)=$Z$3,"Full",SUMIFS($C$3:$C245,$D$3:$D245,T$2)))</f>
        <v>-</v>
      </c>
    </row>
    <row r="246" spans="1:20" x14ac:dyDescent="0.25">
      <c r="A246" s="10" t="str">
        <f t="shared" si="156"/>
        <v/>
      </c>
      <c r="D246" s="2" t="str" cm="1">
        <f t="array" aca="1" ref="D246" ca="1">IFERROR(_xlfn.XLOOKUP(MIN(E245:INDIRECT($AA$4&amp;A246+1)),E245:INDIRECT($AA$4&amp;A246+1),$E$2:INDIRECT($AA$4&amp;"$2")),"-")</f>
        <v>-</v>
      </c>
      <c r="E246" s="2" t="str">
        <f ca="1">IF(E$1&gt;$Z$4,"-",IF(COUNTIF($D$3:$D246,E$2)=$Z$3,"Full",SUMIFS($C$3:$C246,$D$3:$D246,E$2)))</f>
        <v>Full</v>
      </c>
      <c r="F246" s="2" t="str">
        <f>IF(F$1&gt;$Z$4,"-",IF(COUNTIF($D$3:$D246,F$2)=$Z$3,"Full",SUMIFS($C$3:$C246,$D$3:$D246,F$2)))</f>
        <v>-</v>
      </c>
      <c r="G246" s="2" t="str">
        <f>IF(G$1&gt;$Z$4,"-",IF(COUNTIF($D$3:$D246,G$2)=$Z$3,"Full",SUMIFS($C$3:$C246,$D$3:$D246,G$2)))</f>
        <v>-</v>
      </c>
      <c r="H246" s="2" t="str">
        <f>IF(H$1&gt;$Z$4,"-",IF(COUNTIF($D$3:$D246,H$2)=$Z$3,"Full",SUMIFS($C$3:$C246,$D$3:$D246,H$2)))</f>
        <v>-</v>
      </c>
      <c r="I246" s="2" t="str">
        <f>IF(I$1&gt;$Z$4,"-",IF(COUNTIF($D$3:$D246,I$2)=$Z$3,"Full",SUMIFS($C$3:$C246,$D$3:$D246,I$2)))</f>
        <v>-</v>
      </c>
      <c r="J246" s="2" t="str">
        <f>IF(J$1&gt;$Z$4,"-",IF(COUNTIF($D$3:$D246,J$2)=$Z$3,"Full",SUMIFS($C$3:$C246,$D$3:$D246,J$2)))</f>
        <v>-</v>
      </c>
      <c r="K246" s="2" t="str">
        <f>IF(K$1&gt;$Z$4,"-",IF(COUNTIF($D$3:$D246,K$2)=$Z$3,"Full",SUMIFS($C$3:$C246,$D$3:$D246,K$2)))</f>
        <v>-</v>
      </c>
      <c r="L246" s="2" t="str">
        <f>IF(L$1&gt;$Z$4,"-",IF(COUNTIF($D$3:$D246,L$2)=$Z$3,"Full",SUMIFS($C$3:$C246,$D$3:$D246,L$2)))</f>
        <v>-</v>
      </c>
      <c r="M246" s="2" t="str">
        <f>IF(M$1&gt;$Z$4,"-",IF(COUNTIF($D$3:$D246,M$2)=$Z$3,"Full",SUMIFS($C$3:$C246,$D$3:$D246,M$2)))</f>
        <v>-</v>
      </c>
      <c r="N246" s="2" t="str">
        <f>IF(N$1&gt;$Z$4,"-",IF(COUNTIF($D$3:$D246,N$2)=$Z$3,"Full",SUMIFS($C$3:$C246,$D$3:$D246,N$2)))</f>
        <v>-</v>
      </c>
      <c r="O246" s="2" t="str">
        <f>IF(O$1&gt;$Z$4,"-",IF(COUNTIF($D$3:$D246,O$2)=$Z$3,"Full",SUMIFS($C$3:$C246,$D$3:$D246,O$2)))</f>
        <v>-</v>
      </c>
      <c r="P246" s="2" t="str">
        <f>IF(P$1&gt;$Z$4,"-",IF(COUNTIF($D$3:$D246,P$2)=$Z$3,"Full",SUMIFS($C$3:$C246,$D$3:$D246,P$2)))</f>
        <v>-</v>
      </c>
      <c r="Q246" s="2" t="str">
        <f>IF(Q$1&gt;$Z$4,"-",IF(COUNTIF($D$3:$D246,Q$2)=$Z$3,"Full",SUMIFS($C$3:$C246,$D$3:$D246,Q$2)))</f>
        <v>-</v>
      </c>
      <c r="R246" s="2" t="str">
        <f>IF(R$1&gt;$Z$4,"-",IF(COUNTIF($D$3:$D246,R$2)=$Z$3,"Full",SUMIFS($C$3:$C246,$D$3:$D246,R$2)))</f>
        <v>-</v>
      </c>
      <c r="S246" s="2" t="str">
        <f>IF(S$1&gt;$Z$4,"-",IF(COUNTIF($D$3:$D246,S$2)=$Z$3,"Full",SUMIFS($C$3:$C246,$D$3:$D246,S$2)))</f>
        <v>-</v>
      </c>
      <c r="T246" s="11" t="str">
        <f>IF(T$1&gt;$Z$4,"-",IF(COUNTIF($D$3:$D246,T$2)=$Z$3,"Full",SUMIFS($C$3:$C246,$D$3:$D246,T$2)))</f>
        <v>-</v>
      </c>
    </row>
    <row r="247" spans="1:20" x14ac:dyDescent="0.25">
      <c r="A247" s="10" t="str">
        <f t="shared" si="156"/>
        <v/>
      </c>
      <c r="D247" s="2" t="str" cm="1">
        <f t="array" aca="1" ref="D247" ca="1">IFERROR(_xlfn.XLOOKUP(MIN(E246:INDIRECT($AA$4&amp;A247+1)),E246:INDIRECT($AA$4&amp;A247+1),$E$2:INDIRECT($AA$4&amp;"$2")),"-")</f>
        <v>-</v>
      </c>
      <c r="E247" s="2" t="str">
        <f ca="1">IF(E$1&gt;$Z$4,"-",IF(COUNTIF($D$3:$D247,E$2)=$Z$3,"Full",SUMIFS($C$3:$C247,$D$3:$D247,E$2)))</f>
        <v>Full</v>
      </c>
      <c r="F247" s="2" t="str">
        <f>IF(F$1&gt;$Z$4,"-",IF(COUNTIF($D$3:$D247,F$2)=$Z$3,"Full",SUMIFS($C$3:$C247,$D$3:$D247,F$2)))</f>
        <v>-</v>
      </c>
      <c r="G247" s="2" t="str">
        <f>IF(G$1&gt;$Z$4,"-",IF(COUNTIF($D$3:$D247,G$2)=$Z$3,"Full",SUMIFS($C$3:$C247,$D$3:$D247,G$2)))</f>
        <v>-</v>
      </c>
      <c r="H247" s="2" t="str">
        <f>IF(H$1&gt;$Z$4,"-",IF(COUNTIF($D$3:$D247,H$2)=$Z$3,"Full",SUMIFS($C$3:$C247,$D$3:$D247,H$2)))</f>
        <v>-</v>
      </c>
      <c r="I247" s="2" t="str">
        <f>IF(I$1&gt;$Z$4,"-",IF(COUNTIF($D$3:$D247,I$2)=$Z$3,"Full",SUMIFS($C$3:$C247,$D$3:$D247,I$2)))</f>
        <v>-</v>
      </c>
      <c r="J247" s="2" t="str">
        <f>IF(J$1&gt;$Z$4,"-",IF(COUNTIF($D$3:$D247,J$2)=$Z$3,"Full",SUMIFS($C$3:$C247,$D$3:$D247,J$2)))</f>
        <v>-</v>
      </c>
      <c r="K247" s="2" t="str">
        <f>IF(K$1&gt;$Z$4,"-",IF(COUNTIF($D$3:$D247,K$2)=$Z$3,"Full",SUMIFS($C$3:$C247,$D$3:$D247,K$2)))</f>
        <v>-</v>
      </c>
      <c r="L247" s="2" t="str">
        <f>IF(L$1&gt;$Z$4,"-",IF(COUNTIF($D$3:$D247,L$2)=$Z$3,"Full",SUMIFS($C$3:$C247,$D$3:$D247,L$2)))</f>
        <v>-</v>
      </c>
      <c r="M247" s="2" t="str">
        <f>IF(M$1&gt;$Z$4,"-",IF(COUNTIF($D$3:$D247,M$2)=$Z$3,"Full",SUMIFS($C$3:$C247,$D$3:$D247,M$2)))</f>
        <v>-</v>
      </c>
      <c r="N247" s="2" t="str">
        <f>IF(N$1&gt;$Z$4,"-",IF(COUNTIF($D$3:$D247,N$2)=$Z$3,"Full",SUMIFS($C$3:$C247,$D$3:$D247,N$2)))</f>
        <v>-</v>
      </c>
      <c r="O247" s="2" t="str">
        <f>IF(O$1&gt;$Z$4,"-",IF(COUNTIF($D$3:$D247,O$2)=$Z$3,"Full",SUMIFS($C$3:$C247,$D$3:$D247,O$2)))</f>
        <v>-</v>
      </c>
      <c r="P247" s="2" t="str">
        <f>IF(P$1&gt;$Z$4,"-",IF(COUNTIF($D$3:$D247,P$2)=$Z$3,"Full",SUMIFS($C$3:$C247,$D$3:$D247,P$2)))</f>
        <v>-</v>
      </c>
      <c r="Q247" s="2" t="str">
        <f>IF(Q$1&gt;$Z$4,"-",IF(COUNTIF($D$3:$D247,Q$2)=$Z$3,"Full",SUMIFS($C$3:$C247,$D$3:$D247,Q$2)))</f>
        <v>-</v>
      </c>
      <c r="R247" s="2" t="str">
        <f>IF(R$1&gt;$Z$4,"-",IF(COUNTIF($D$3:$D247,R$2)=$Z$3,"Full",SUMIFS($C$3:$C247,$D$3:$D247,R$2)))</f>
        <v>-</v>
      </c>
      <c r="S247" s="2" t="str">
        <f>IF(S$1&gt;$Z$4,"-",IF(COUNTIF($D$3:$D247,S$2)=$Z$3,"Full",SUMIFS($C$3:$C247,$D$3:$D247,S$2)))</f>
        <v>-</v>
      </c>
      <c r="T247" s="11" t="str">
        <f>IF(T$1&gt;$Z$4,"-",IF(COUNTIF($D$3:$D247,T$2)=$Z$3,"Full",SUMIFS($C$3:$C247,$D$3:$D247,T$2)))</f>
        <v>-</v>
      </c>
    </row>
    <row r="248" spans="1:20" x14ac:dyDescent="0.25">
      <c r="A248" s="10" t="str">
        <f t="shared" si="156"/>
        <v/>
      </c>
      <c r="D248" s="2" t="str" cm="1">
        <f t="array" aca="1" ref="D248" ca="1">IFERROR(_xlfn.XLOOKUP(MIN(E247:INDIRECT($AA$4&amp;A248+1)),E247:INDIRECT($AA$4&amp;A248+1),$E$2:INDIRECT($AA$4&amp;"$2")),"-")</f>
        <v>-</v>
      </c>
      <c r="E248" s="2" t="str">
        <f ca="1">IF(E$1&gt;$Z$4,"-",IF(COUNTIF($D$3:$D248,E$2)=$Z$3,"Full",SUMIFS($C$3:$C248,$D$3:$D248,E$2)))</f>
        <v>Full</v>
      </c>
      <c r="F248" s="2" t="str">
        <f>IF(F$1&gt;$Z$4,"-",IF(COUNTIF($D$3:$D248,F$2)=$Z$3,"Full",SUMIFS($C$3:$C248,$D$3:$D248,F$2)))</f>
        <v>-</v>
      </c>
      <c r="G248" s="2" t="str">
        <f>IF(G$1&gt;$Z$4,"-",IF(COUNTIF($D$3:$D248,G$2)=$Z$3,"Full",SUMIFS($C$3:$C248,$D$3:$D248,G$2)))</f>
        <v>-</v>
      </c>
      <c r="H248" s="2" t="str">
        <f>IF(H$1&gt;$Z$4,"-",IF(COUNTIF($D$3:$D248,H$2)=$Z$3,"Full",SUMIFS($C$3:$C248,$D$3:$D248,H$2)))</f>
        <v>-</v>
      </c>
      <c r="I248" s="2" t="str">
        <f>IF(I$1&gt;$Z$4,"-",IF(COUNTIF($D$3:$D248,I$2)=$Z$3,"Full",SUMIFS($C$3:$C248,$D$3:$D248,I$2)))</f>
        <v>-</v>
      </c>
      <c r="J248" s="2" t="str">
        <f>IF(J$1&gt;$Z$4,"-",IF(COUNTIF($D$3:$D248,J$2)=$Z$3,"Full",SUMIFS($C$3:$C248,$D$3:$D248,J$2)))</f>
        <v>-</v>
      </c>
      <c r="K248" s="2" t="str">
        <f>IF(K$1&gt;$Z$4,"-",IF(COUNTIF($D$3:$D248,K$2)=$Z$3,"Full",SUMIFS($C$3:$C248,$D$3:$D248,K$2)))</f>
        <v>-</v>
      </c>
      <c r="L248" s="2" t="str">
        <f>IF(L$1&gt;$Z$4,"-",IF(COUNTIF($D$3:$D248,L$2)=$Z$3,"Full",SUMIFS($C$3:$C248,$D$3:$D248,L$2)))</f>
        <v>-</v>
      </c>
      <c r="M248" s="2" t="str">
        <f>IF(M$1&gt;$Z$4,"-",IF(COUNTIF($D$3:$D248,M$2)=$Z$3,"Full",SUMIFS($C$3:$C248,$D$3:$D248,M$2)))</f>
        <v>-</v>
      </c>
      <c r="N248" s="2" t="str">
        <f>IF(N$1&gt;$Z$4,"-",IF(COUNTIF($D$3:$D248,N$2)=$Z$3,"Full",SUMIFS($C$3:$C248,$D$3:$D248,N$2)))</f>
        <v>-</v>
      </c>
      <c r="O248" s="2" t="str">
        <f>IF(O$1&gt;$Z$4,"-",IF(COUNTIF($D$3:$D248,O$2)=$Z$3,"Full",SUMIFS($C$3:$C248,$D$3:$D248,O$2)))</f>
        <v>-</v>
      </c>
      <c r="P248" s="2" t="str">
        <f>IF(P$1&gt;$Z$4,"-",IF(COUNTIF($D$3:$D248,P$2)=$Z$3,"Full",SUMIFS($C$3:$C248,$D$3:$D248,P$2)))</f>
        <v>-</v>
      </c>
      <c r="Q248" s="2" t="str">
        <f>IF(Q$1&gt;$Z$4,"-",IF(COUNTIF($D$3:$D248,Q$2)=$Z$3,"Full",SUMIFS($C$3:$C248,$D$3:$D248,Q$2)))</f>
        <v>-</v>
      </c>
      <c r="R248" s="2" t="str">
        <f>IF(R$1&gt;$Z$4,"-",IF(COUNTIF($D$3:$D248,R$2)=$Z$3,"Full",SUMIFS($C$3:$C248,$D$3:$D248,R$2)))</f>
        <v>-</v>
      </c>
      <c r="S248" s="2" t="str">
        <f>IF(S$1&gt;$Z$4,"-",IF(COUNTIF($D$3:$D248,S$2)=$Z$3,"Full",SUMIFS($C$3:$C248,$D$3:$D248,S$2)))</f>
        <v>-</v>
      </c>
      <c r="T248" s="11" t="str">
        <f>IF(T$1&gt;$Z$4,"-",IF(COUNTIF($D$3:$D248,T$2)=$Z$3,"Full",SUMIFS($C$3:$C248,$D$3:$D248,T$2)))</f>
        <v>-</v>
      </c>
    </row>
    <row r="249" spans="1:20" x14ac:dyDescent="0.25">
      <c r="A249" s="10" t="str">
        <f t="shared" si="156"/>
        <v/>
      </c>
      <c r="D249" s="2" t="str" cm="1">
        <f t="array" aca="1" ref="D249" ca="1">IFERROR(_xlfn.XLOOKUP(MIN(E248:INDIRECT($AA$4&amp;A249+1)),E248:INDIRECT($AA$4&amp;A249+1),$E$2:INDIRECT($AA$4&amp;"$2")),"-")</f>
        <v>-</v>
      </c>
      <c r="E249" s="2" t="str">
        <f ca="1">IF(E$1&gt;$Z$4,"-",IF(COUNTIF($D$3:$D249,E$2)=$Z$3,"Full",SUMIFS($C$3:$C249,$D$3:$D249,E$2)))</f>
        <v>Full</v>
      </c>
      <c r="F249" s="2" t="str">
        <f>IF(F$1&gt;$Z$4,"-",IF(COUNTIF($D$3:$D249,F$2)=$Z$3,"Full",SUMIFS($C$3:$C249,$D$3:$D249,F$2)))</f>
        <v>-</v>
      </c>
      <c r="G249" s="2" t="str">
        <f>IF(G$1&gt;$Z$4,"-",IF(COUNTIF($D$3:$D249,G$2)=$Z$3,"Full",SUMIFS($C$3:$C249,$D$3:$D249,G$2)))</f>
        <v>-</v>
      </c>
      <c r="H249" s="2" t="str">
        <f>IF(H$1&gt;$Z$4,"-",IF(COUNTIF($D$3:$D249,H$2)=$Z$3,"Full",SUMIFS($C$3:$C249,$D$3:$D249,H$2)))</f>
        <v>-</v>
      </c>
      <c r="I249" s="2" t="str">
        <f>IF(I$1&gt;$Z$4,"-",IF(COUNTIF($D$3:$D249,I$2)=$Z$3,"Full",SUMIFS($C$3:$C249,$D$3:$D249,I$2)))</f>
        <v>-</v>
      </c>
      <c r="J249" s="2" t="str">
        <f>IF(J$1&gt;$Z$4,"-",IF(COUNTIF($D$3:$D249,J$2)=$Z$3,"Full",SUMIFS($C$3:$C249,$D$3:$D249,J$2)))</f>
        <v>-</v>
      </c>
      <c r="K249" s="2" t="str">
        <f>IF(K$1&gt;$Z$4,"-",IF(COUNTIF($D$3:$D249,K$2)=$Z$3,"Full",SUMIFS($C$3:$C249,$D$3:$D249,K$2)))</f>
        <v>-</v>
      </c>
      <c r="L249" s="2" t="str">
        <f>IF(L$1&gt;$Z$4,"-",IF(COUNTIF($D$3:$D249,L$2)=$Z$3,"Full",SUMIFS($C$3:$C249,$D$3:$D249,L$2)))</f>
        <v>-</v>
      </c>
      <c r="M249" s="2" t="str">
        <f>IF(M$1&gt;$Z$4,"-",IF(COUNTIF($D$3:$D249,M$2)=$Z$3,"Full",SUMIFS($C$3:$C249,$D$3:$D249,M$2)))</f>
        <v>-</v>
      </c>
      <c r="N249" s="2" t="str">
        <f>IF(N$1&gt;$Z$4,"-",IF(COUNTIF($D$3:$D249,N$2)=$Z$3,"Full",SUMIFS($C$3:$C249,$D$3:$D249,N$2)))</f>
        <v>-</v>
      </c>
      <c r="O249" s="2" t="str">
        <f>IF(O$1&gt;$Z$4,"-",IF(COUNTIF($D$3:$D249,O$2)=$Z$3,"Full",SUMIFS($C$3:$C249,$D$3:$D249,O$2)))</f>
        <v>-</v>
      </c>
      <c r="P249" s="2" t="str">
        <f>IF(P$1&gt;$Z$4,"-",IF(COUNTIF($D$3:$D249,P$2)=$Z$3,"Full",SUMIFS($C$3:$C249,$D$3:$D249,P$2)))</f>
        <v>-</v>
      </c>
      <c r="Q249" s="2" t="str">
        <f>IF(Q$1&gt;$Z$4,"-",IF(COUNTIF($D$3:$D249,Q$2)=$Z$3,"Full",SUMIFS($C$3:$C249,$D$3:$D249,Q$2)))</f>
        <v>-</v>
      </c>
      <c r="R249" s="2" t="str">
        <f>IF(R$1&gt;$Z$4,"-",IF(COUNTIF($D$3:$D249,R$2)=$Z$3,"Full",SUMIFS($C$3:$C249,$D$3:$D249,R$2)))</f>
        <v>-</v>
      </c>
      <c r="S249" s="2" t="str">
        <f>IF(S$1&gt;$Z$4,"-",IF(COUNTIF($D$3:$D249,S$2)=$Z$3,"Full",SUMIFS($C$3:$C249,$D$3:$D249,S$2)))</f>
        <v>-</v>
      </c>
      <c r="T249" s="11" t="str">
        <f>IF(T$1&gt;$Z$4,"-",IF(COUNTIF($D$3:$D249,T$2)=$Z$3,"Full",SUMIFS($C$3:$C249,$D$3:$D249,T$2)))</f>
        <v>-</v>
      </c>
    </row>
    <row r="250" spans="1:20" x14ac:dyDescent="0.25">
      <c r="A250" s="10" t="str">
        <f t="shared" si="156"/>
        <v/>
      </c>
      <c r="D250" s="2" t="str" cm="1">
        <f t="array" aca="1" ref="D250" ca="1">IFERROR(_xlfn.XLOOKUP(MIN(E249:INDIRECT($AA$4&amp;A250+1)),E249:INDIRECT($AA$4&amp;A250+1),$E$2:INDIRECT($AA$4&amp;"$2")),"-")</f>
        <v>-</v>
      </c>
      <c r="E250" s="2" t="str">
        <f ca="1">IF(E$1&gt;$Z$4,"-",IF(COUNTIF($D$3:$D250,E$2)=$Z$3,"Full",SUMIFS($C$3:$C250,$D$3:$D250,E$2)))</f>
        <v>Full</v>
      </c>
      <c r="F250" s="2" t="str">
        <f>IF(F$1&gt;$Z$4,"-",IF(COUNTIF($D$3:$D250,F$2)=$Z$3,"Full",SUMIFS($C$3:$C250,$D$3:$D250,F$2)))</f>
        <v>-</v>
      </c>
      <c r="G250" s="2" t="str">
        <f>IF(G$1&gt;$Z$4,"-",IF(COUNTIF($D$3:$D250,G$2)=$Z$3,"Full",SUMIFS($C$3:$C250,$D$3:$D250,G$2)))</f>
        <v>-</v>
      </c>
      <c r="H250" s="2" t="str">
        <f>IF(H$1&gt;$Z$4,"-",IF(COUNTIF($D$3:$D250,H$2)=$Z$3,"Full",SUMIFS($C$3:$C250,$D$3:$D250,H$2)))</f>
        <v>-</v>
      </c>
      <c r="I250" s="2" t="str">
        <f>IF(I$1&gt;$Z$4,"-",IF(COUNTIF($D$3:$D250,I$2)=$Z$3,"Full",SUMIFS($C$3:$C250,$D$3:$D250,I$2)))</f>
        <v>-</v>
      </c>
      <c r="J250" s="2" t="str">
        <f>IF(J$1&gt;$Z$4,"-",IF(COUNTIF($D$3:$D250,J$2)=$Z$3,"Full",SUMIFS($C$3:$C250,$D$3:$D250,J$2)))</f>
        <v>-</v>
      </c>
      <c r="K250" s="2" t="str">
        <f>IF(K$1&gt;$Z$4,"-",IF(COUNTIF($D$3:$D250,K$2)=$Z$3,"Full",SUMIFS($C$3:$C250,$D$3:$D250,K$2)))</f>
        <v>-</v>
      </c>
      <c r="L250" s="2" t="str">
        <f>IF(L$1&gt;$Z$4,"-",IF(COUNTIF($D$3:$D250,L$2)=$Z$3,"Full",SUMIFS($C$3:$C250,$D$3:$D250,L$2)))</f>
        <v>-</v>
      </c>
      <c r="M250" s="2" t="str">
        <f>IF(M$1&gt;$Z$4,"-",IF(COUNTIF($D$3:$D250,M$2)=$Z$3,"Full",SUMIFS($C$3:$C250,$D$3:$D250,M$2)))</f>
        <v>-</v>
      </c>
      <c r="N250" s="2" t="str">
        <f>IF(N$1&gt;$Z$4,"-",IF(COUNTIF($D$3:$D250,N$2)=$Z$3,"Full",SUMIFS($C$3:$C250,$D$3:$D250,N$2)))</f>
        <v>-</v>
      </c>
      <c r="O250" s="2" t="str">
        <f>IF(O$1&gt;$Z$4,"-",IF(COUNTIF($D$3:$D250,O$2)=$Z$3,"Full",SUMIFS($C$3:$C250,$D$3:$D250,O$2)))</f>
        <v>-</v>
      </c>
      <c r="P250" s="2" t="str">
        <f>IF(P$1&gt;$Z$4,"-",IF(COUNTIF($D$3:$D250,P$2)=$Z$3,"Full",SUMIFS($C$3:$C250,$D$3:$D250,P$2)))</f>
        <v>-</v>
      </c>
      <c r="Q250" s="2" t="str">
        <f>IF(Q$1&gt;$Z$4,"-",IF(COUNTIF($D$3:$D250,Q$2)=$Z$3,"Full",SUMIFS($C$3:$C250,$D$3:$D250,Q$2)))</f>
        <v>-</v>
      </c>
      <c r="R250" s="2" t="str">
        <f>IF(R$1&gt;$Z$4,"-",IF(COUNTIF($D$3:$D250,R$2)=$Z$3,"Full",SUMIFS($C$3:$C250,$D$3:$D250,R$2)))</f>
        <v>-</v>
      </c>
      <c r="S250" s="2" t="str">
        <f>IF(S$1&gt;$Z$4,"-",IF(COUNTIF($D$3:$D250,S$2)=$Z$3,"Full",SUMIFS($C$3:$C250,$D$3:$D250,S$2)))</f>
        <v>-</v>
      </c>
      <c r="T250" s="11" t="str">
        <f>IF(T$1&gt;$Z$4,"-",IF(COUNTIF($D$3:$D250,T$2)=$Z$3,"Full",SUMIFS($C$3:$C250,$D$3:$D250,T$2)))</f>
        <v>-</v>
      </c>
    </row>
    <row r="251" spans="1:20" x14ac:dyDescent="0.25">
      <c r="A251" s="10" t="str">
        <f t="shared" si="156"/>
        <v/>
      </c>
      <c r="D251" s="2" t="str" cm="1">
        <f t="array" aca="1" ref="D251" ca="1">IFERROR(_xlfn.XLOOKUP(MIN(E250:INDIRECT($AA$4&amp;A251+1)),E250:INDIRECT($AA$4&amp;A251+1),$E$2:INDIRECT($AA$4&amp;"$2")),"-")</f>
        <v>-</v>
      </c>
      <c r="E251" s="2" t="str">
        <f ca="1">IF(E$1&gt;$Z$4,"-",IF(COUNTIF($D$3:$D251,E$2)=$Z$3,"Full",SUMIFS($C$3:$C251,$D$3:$D251,E$2)))</f>
        <v>Full</v>
      </c>
      <c r="F251" s="2" t="str">
        <f>IF(F$1&gt;$Z$4,"-",IF(COUNTIF($D$3:$D251,F$2)=$Z$3,"Full",SUMIFS($C$3:$C251,$D$3:$D251,F$2)))</f>
        <v>-</v>
      </c>
      <c r="G251" s="2" t="str">
        <f>IF(G$1&gt;$Z$4,"-",IF(COUNTIF($D$3:$D251,G$2)=$Z$3,"Full",SUMIFS($C$3:$C251,$D$3:$D251,G$2)))</f>
        <v>-</v>
      </c>
      <c r="H251" s="2" t="str">
        <f>IF(H$1&gt;$Z$4,"-",IF(COUNTIF($D$3:$D251,H$2)=$Z$3,"Full",SUMIFS($C$3:$C251,$D$3:$D251,H$2)))</f>
        <v>-</v>
      </c>
      <c r="I251" s="2" t="str">
        <f>IF(I$1&gt;$Z$4,"-",IF(COUNTIF($D$3:$D251,I$2)=$Z$3,"Full",SUMIFS($C$3:$C251,$D$3:$D251,I$2)))</f>
        <v>-</v>
      </c>
      <c r="J251" s="2" t="str">
        <f>IF(J$1&gt;$Z$4,"-",IF(COUNTIF($D$3:$D251,J$2)=$Z$3,"Full",SUMIFS($C$3:$C251,$D$3:$D251,J$2)))</f>
        <v>-</v>
      </c>
      <c r="K251" s="2" t="str">
        <f>IF(K$1&gt;$Z$4,"-",IF(COUNTIF($D$3:$D251,K$2)=$Z$3,"Full",SUMIFS($C$3:$C251,$D$3:$D251,K$2)))</f>
        <v>-</v>
      </c>
      <c r="L251" s="2" t="str">
        <f>IF(L$1&gt;$Z$4,"-",IF(COUNTIF($D$3:$D251,L$2)=$Z$3,"Full",SUMIFS($C$3:$C251,$D$3:$D251,L$2)))</f>
        <v>-</v>
      </c>
      <c r="M251" s="2" t="str">
        <f>IF(M$1&gt;$Z$4,"-",IF(COUNTIF($D$3:$D251,M$2)=$Z$3,"Full",SUMIFS($C$3:$C251,$D$3:$D251,M$2)))</f>
        <v>-</v>
      </c>
      <c r="N251" s="2" t="str">
        <f>IF(N$1&gt;$Z$4,"-",IF(COUNTIF($D$3:$D251,N$2)=$Z$3,"Full",SUMIFS($C$3:$C251,$D$3:$D251,N$2)))</f>
        <v>-</v>
      </c>
      <c r="O251" s="2" t="str">
        <f>IF(O$1&gt;$Z$4,"-",IF(COUNTIF($D$3:$D251,O$2)=$Z$3,"Full",SUMIFS($C$3:$C251,$D$3:$D251,O$2)))</f>
        <v>-</v>
      </c>
      <c r="P251" s="2" t="str">
        <f>IF(P$1&gt;$Z$4,"-",IF(COUNTIF($D$3:$D251,P$2)=$Z$3,"Full",SUMIFS($C$3:$C251,$D$3:$D251,P$2)))</f>
        <v>-</v>
      </c>
      <c r="Q251" s="2" t="str">
        <f>IF(Q$1&gt;$Z$4,"-",IF(COUNTIF($D$3:$D251,Q$2)=$Z$3,"Full",SUMIFS($C$3:$C251,$D$3:$D251,Q$2)))</f>
        <v>-</v>
      </c>
      <c r="R251" s="2" t="str">
        <f>IF(R$1&gt;$Z$4,"-",IF(COUNTIF($D$3:$D251,R$2)=$Z$3,"Full",SUMIFS($C$3:$C251,$D$3:$D251,R$2)))</f>
        <v>-</v>
      </c>
      <c r="S251" s="2" t="str">
        <f>IF(S$1&gt;$Z$4,"-",IF(COUNTIF($D$3:$D251,S$2)=$Z$3,"Full",SUMIFS($C$3:$C251,$D$3:$D251,S$2)))</f>
        <v>-</v>
      </c>
      <c r="T251" s="11" t="str">
        <f>IF(T$1&gt;$Z$4,"-",IF(COUNTIF($D$3:$D251,T$2)=$Z$3,"Full",SUMIFS($C$3:$C251,$D$3:$D251,T$2)))</f>
        <v>-</v>
      </c>
    </row>
    <row r="252" spans="1:20" x14ac:dyDescent="0.25">
      <c r="A252" s="10" t="str">
        <f t="shared" si="156"/>
        <v/>
      </c>
      <c r="D252" s="2" t="str" cm="1">
        <f t="array" aca="1" ref="D252" ca="1">IFERROR(_xlfn.XLOOKUP(MIN(E251:INDIRECT($AA$4&amp;A252+1)),E251:INDIRECT($AA$4&amp;A252+1),$E$2:INDIRECT($AA$4&amp;"$2")),"-")</f>
        <v>-</v>
      </c>
      <c r="E252" s="2" t="str">
        <f ca="1">IF(E$1&gt;$Z$4,"-",IF(COUNTIF($D$3:$D252,E$2)=$Z$3,"Full",SUMIFS($C$3:$C252,$D$3:$D252,E$2)))</f>
        <v>Full</v>
      </c>
      <c r="F252" s="2" t="str">
        <f>IF(F$1&gt;$Z$4,"-",IF(COUNTIF($D$3:$D252,F$2)=$Z$3,"Full",SUMIFS($C$3:$C252,$D$3:$D252,F$2)))</f>
        <v>-</v>
      </c>
      <c r="G252" s="2" t="str">
        <f>IF(G$1&gt;$Z$4,"-",IF(COUNTIF($D$3:$D252,G$2)=$Z$3,"Full",SUMIFS($C$3:$C252,$D$3:$D252,G$2)))</f>
        <v>-</v>
      </c>
      <c r="H252" s="2" t="str">
        <f>IF(H$1&gt;$Z$4,"-",IF(COUNTIF($D$3:$D252,H$2)=$Z$3,"Full",SUMIFS($C$3:$C252,$D$3:$D252,H$2)))</f>
        <v>-</v>
      </c>
      <c r="I252" s="2" t="str">
        <f>IF(I$1&gt;$Z$4,"-",IF(COUNTIF($D$3:$D252,I$2)=$Z$3,"Full",SUMIFS($C$3:$C252,$D$3:$D252,I$2)))</f>
        <v>-</v>
      </c>
      <c r="J252" s="2" t="str">
        <f>IF(J$1&gt;$Z$4,"-",IF(COUNTIF($D$3:$D252,J$2)=$Z$3,"Full",SUMIFS($C$3:$C252,$D$3:$D252,J$2)))</f>
        <v>-</v>
      </c>
      <c r="K252" s="2" t="str">
        <f>IF(K$1&gt;$Z$4,"-",IF(COUNTIF($D$3:$D252,K$2)=$Z$3,"Full",SUMIFS($C$3:$C252,$D$3:$D252,K$2)))</f>
        <v>-</v>
      </c>
      <c r="L252" s="2" t="str">
        <f>IF(L$1&gt;$Z$4,"-",IF(COUNTIF($D$3:$D252,L$2)=$Z$3,"Full",SUMIFS($C$3:$C252,$D$3:$D252,L$2)))</f>
        <v>-</v>
      </c>
      <c r="M252" s="2" t="str">
        <f>IF(M$1&gt;$Z$4,"-",IF(COUNTIF($D$3:$D252,M$2)=$Z$3,"Full",SUMIFS($C$3:$C252,$D$3:$D252,M$2)))</f>
        <v>-</v>
      </c>
      <c r="N252" s="2" t="str">
        <f>IF(N$1&gt;$Z$4,"-",IF(COUNTIF($D$3:$D252,N$2)=$Z$3,"Full",SUMIFS($C$3:$C252,$D$3:$D252,N$2)))</f>
        <v>-</v>
      </c>
      <c r="O252" s="2" t="str">
        <f>IF(O$1&gt;$Z$4,"-",IF(COUNTIF($D$3:$D252,O$2)=$Z$3,"Full",SUMIFS($C$3:$C252,$D$3:$D252,O$2)))</f>
        <v>-</v>
      </c>
      <c r="P252" s="2" t="str">
        <f>IF(P$1&gt;$Z$4,"-",IF(COUNTIF($D$3:$D252,P$2)=$Z$3,"Full",SUMIFS($C$3:$C252,$D$3:$D252,P$2)))</f>
        <v>-</v>
      </c>
      <c r="Q252" s="2" t="str">
        <f>IF(Q$1&gt;$Z$4,"-",IF(COUNTIF($D$3:$D252,Q$2)=$Z$3,"Full",SUMIFS($C$3:$C252,$D$3:$D252,Q$2)))</f>
        <v>-</v>
      </c>
      <c r="R252" s="2" t="str">
        <f>IF(R$1&gt;$Z$4,"-",IF(COUNTIF($D$3:$D252,R$2)=$Z$3,"Full",SUMIFS($C$3:$C252,$D$3:$D252,R$2)))</f>
        <v>-</v>
      </c>
      <c r="S252" s="2" t="str">
        <f>IF(S$1&gt;$Z$4,"-",IF(COUNTIF($D$3:$D252,S$2)=$Z$3,"Full",SUMIFS($C$3:$C252,$D$3:$D252,S$2)))</f>
        <v>-</v>
      </c>
      <c r="T252" s="11" t="str">
        <f>IF(T$1&gt;$Z$4,"-",IF(COUNTIF($D$3:$D252,T$2)=$Z$3,"Full",SUMIFS($C$3:$C252,$D$3:$D252,T$2)))</f>
        <v>-</v>
      </c>
    </row>
    <row r="253" spans="1:20" x14ac:dyDescent="0.25">
      <c r="A253" s="10" t="str">
        <f t="shared" si="156"/>
        <v/>
      </c>
      <c r="D253" s="2" t="str" cm="1">
        <f t="array" aca="1" ref="D253" ca="1">IFERROR(_xlfn.XLOOKUP(MIN(E252:INDIRECT($AA$4&amp;A253+1)),E252:INDIRECT($AA$4&amp;A253+1),$E$2:INDIRECT($AA$4&amp;"$2")),"-")</f>
        <v>-</v>
      </c>
      <c r="E253" s="2" t="str">
        <f ca="1">IF(E$1&gt;$Z$4,"-",IF(COUNTIF($D$3:$D253,E$2)=$Z$3,"Full",SUMIFS($C$3:$C253,$D$3:$D253,E$2)))</f>
        <v>Full</v>
      </c>
      <c r="F253" s="2" t="str">
        <f>IF(F$1&gt;$Z$4,"-",IF(COUNTIF($D$3:$D253,F$2)=$Z$3,"Full",SUMIFS($C$3:$C253,$D$3:$D253,F$2)))</f>
        <v>-</v>
      </c>
      <c r="G253" s="2" t="str">
        <f>IF(G$1&gt;$Z$4,"-",IF(COUNTIF($D$3:$D253,G$2)=$Z$3,"Full",SUMIFS($C$3:$C253,$D$3:$D253,G$2)))</f>
        <v>-</v>
      </c>
      <c r="H253" s="2" t="str">
        <f>IF(H$1&gt;$Z$4,"-",IF(COUNTIF($D$3:$D253,H$2)=$Z$3,"Full",SUMIFS($C$3:$C253,$D$3:$D253,H$2)))</f>
        <v>-</v>
      </c>
      <c r="I253" s="2" t="str">
        <f>IF(I$1&gt;$Z$4,"-",IF(COUNTIF($D$3:$D253,I$2)=$Z$3,"Full",SUMIFS($C$3:$C253,$D$3:$D253,I$2)))</f>
        <v>-</v>
      </c>
      <c r="J253" s="2" t="str">
        <f>IF(J$1&gt;$Z$4,"-",IF(COUNTIF($D$3:$D253,J$2)=$Z$3,"Full",SUMIFS($C$3:$C253,$D$3:$D253,J$2)))</f>
        <v>-</v>
      </c>
      <c r="K253" s="2" t="str">
        <f>IF(K$1&gt;$Z$4,"-",IF(COUNTIF($D$3:$D253,K$2)=$Z$3,"Full",SUMIFS($C$3:$C253,$D$3:$D253,K$2)))</f>
        <v>-</v>
      </c>
      <c r="L253" s="2" t="str">
        <f>IF(L$1&gt;$Z$4,"-",IF(COUNTIF($D$3:$D253,L$2)=$Z$3,"Full",SUMIFS($C$3:$C253,$D$3:$D253,L$2)))</f>
        <v>-</v>
      </c>
      <c r="M253" s="2" t="str">
        <f>IF(M$1&gt;$Z$4,"-",IF(COUNTIF($D$3:$D253,M$2)=$Z$3,"Full",SUMIFS($C$3:$C253,$D$3:$D253,M$2)))</f>
        <v>-</v>
      </c>
      <c r="N253" s="2" t="str">
        <f>IF(N$1&gt;$Z$4,"-",IF(COUNTIF($D$3:$D253,N$2)=$Z$3,"Full",SUMIFS($C$3:$C253,$D$3:$D253,N$2)))</f>
        <v>-</v>
      </c>
      <c r="O253" s="2" t="str">
        <f>IF(O$1&gt;$Z$4,"-",IF(COUNTIF($D$3:$D253,O$2)=$Z$3,"Full",SUMIFS($C$3:$C253,$D$3:$D253,O$2)))</f>
        <v>-</v>
      </c>
      <c r="P253" s="2" t="str">
        <f>IF(P$1&gt;$Z$4,"-",IF(COUNTIF($D$3:$D253,P$2)=$Z$3,"Full",SUMIFS($C$3:$C253,$D$3:$D253,P$2)))</f>
        <v>-</v>
      </c>
      <c r="Q253" s="2" t="str">
        <f>IF(Q$1&gt;$Z$4,"-",IF(COUNTIF($D$3:$D253,Q$2)=$Z$3,"Full",SUMIFS($C$3:$C253,$D$3:$D253,Q$2)))</f>
        <v>-</v>
      </c>
      <c r="R253" s="2" t="str">
        <f>IF(R$1&gt;$Z$4,"-",IF(COUNTIF($D$3:$D253,R$2)=$Z$3,"Full",SUMIFS($C$3:$C253,$D$3:$D253,R$2)))</f>
        <v>-</v>
      </c>
      <c r="S253" s="2" t="str">
        <f>IF(S$1&gt;$Z$4,"-",IF(COUNTIF($D$3:$D253,S$2)=$Z$3,"Full",SUMIFS($C$3:$C253,$D$3:$D253,S$2)))</f>
        <v>-</v>
      </c>
      <c r="T253" s="11" t="str">
        <f>IF(T$1&gt;$Z$4,"-",IF(COUNTIF($D$3:$D253,T$2)=$Z$3,"Full",SUMIFS($C$3:$C253,$D$3:$D253,T$2)))</f>
        <v>-</v>
      </c>
    </row>
    <row r="254" spans="1:20" x14ac:dyDescent="0.25">
      <c r="A254" s="10" t="str">
        <f t="shared" si="156"/>
        <v/>
      </c>
      <c r="D254" s="2" t="str" cm="1">
        <f t="array" aca="1" ref="D254" ca="1">IFERROR(_xlfn.XLOOKUP(MIN(E253:INDIRECT($AA$4&amp;A254+1)),E253:INDIRECT($AA$4&amp;A254+1),$E$2:INDIRECT($AA$4&amp;"$2")),"-")</f>
        <v>-</v>
      </c>
      <c r="E254" s="2" t="str">
        <f ca="1">IF(E$1&gt;$Z$4,"-",IF(COUNTIF($D$3:$D254,E$2)=$Z$3,"Full",SUMIFS($C$3:$C254,$D$3:$D254,E$2)))</f>
        <v>Full</v>
      </c>
      <c r="F254" s="2" t="str">
        <f>IF(F$1&gt;$Z$4,"-",IF(COUNTIF($D$3:$D254,F$2)=$Z$3,"Full",SUMIFS($C$3:$C254,$D$3:$D254,F$2)))</f>
        <v>-</v>
      </c>
      <c r="G254" s="2" t="str">
        <f>IF(G$1&gt;$Z$4,"-",IF(COUNTIF($D$3:$D254,G$2)=$Z$3,"Full",SUMIFS($C$3:$C254,$D$3:$D254,G$2)))</f>
        <v>-</v>
      </c>
      <c r="H254" s="2" t="str">
        <f>IF(H$1&gt;$Z$4,"-",IF(COUNTIF($D$3:$D254,H$2)=$Z$3,"Full",SUMIFS($C$3:$C254,$D$3:$D254,H$2)))</f>
        <v>-</v>
      </c>
      <c r="I254" s="2" t="str">
        <f>IF(I$1&gt;$Z$4,"-",IF(COUNTIF($D$3:$D254,I$2)=$Z$3,"Full",SUMIFS($C$3:$C254,$D$3:$D254,I$2)))</f>
        <v>-</v>
      </c>
      <c r="J254" s="2" t="str">
        <f>IF(J$1&gt;$Z$4,"-",IF(COUNTIF($D$3:$D254,J$2)=$Z$3,"Full",SUMIFS($C$3:$C254,$D$3:$D254,J$2)))</f>
        <v>-</v>
      </c>
      <c r="K254" s="2" t="str">
        <f>IF(K$1&gt;$Z$4,"-",IF(COUNTIF($D$3:$D254,K$2)=$Z$3,"Full",SUMIFS($C$3:$C254,$D$3:$D254,K$2)))</f>
        <v>-</v>
      </c>
      <c r="L254" s="2" t="str">
        <f>IF(L$1&gt;$Z$4,"-",IF(COUNTIF($D$3:$D254,L$2)=$Z$3,"Full",SUMIFS($C$3:$C254,$D$3:$D254,L$2)))</f>
        <v>-</v>
      </c>
      <c r="M254" s="2" t="str">
        <f>IF(M$1&gt;$Z$4,"-",IF(COUNTIF($D$3:$D254,M$2)=$Z$3,"Full",SUMIFS($C$3:$C254,$D$3:$D254,M$2)))</f>
        <v>-</v>
      </c>
      <c r="N254" s="2" t="str">
        <f>IF(N$1&gt;$Z$4,"-",IF(COUNTIF($D$3:$D254,N$2)=$Z$3,"Full",SUMIFS($C$3:$C254,$D$3:$D254,N$2)))</f>
        <v>-</v>
      </c>
      <c r="O254" s="2" t="str">
        <f>IF(O$1&gt;$Z$4,"-",IF(COUNTIF($D$3:$D254,O$2)=$Z$3,"Full",SUMIFS($C$3:$C254,$D$3:$D254,O$2)))</f>
        <v>-</v>
      </c>
      <c r="P254" s="2" t="str">
        <f>IF(P$1&gt;$Z$4,"-",IF(COUNTIF($D$3:$D254,P$2)=$Z$3,"Full",SUMIFS($C$3:$C254,$D$3:$D254,P$2)))</f>
        <v>-</v>
      </c>
      <c r="Q254" s="2" t="str">
        <f>IF(Q$1&gt;$Z$4,"-",IF(COUNTIF($D$3:$D254,Q$2)=$Z$3,"Full",SUMIFS($C$3:$C254,$D$3:$D254,Q$2)))</f>
        <v>-</v>
      </c>
      <c r="R254" s="2" t="str">
        <f>IF(R$1&gt;$Z$4,"-",IF(COUNTIF($D$3:$D254,R$2)=$Z$3,"Full",SUMIFS($C$3:$C254,$D$3:$D254,R$2)))</f>
        <v>-</v>
      </c>
      <c r="S254" s="2" t="str">
        <f>IF(S$1&gt;$Z$4,"-",IF(COUNTIF($D$3:$D254,S$2)=$Z$3,"Full",SUMIFS($C$3:$C254,$D$3:$D254,S$2)))</f>
        <v>-</v>
      </c>
      <c r="T254" s="11" t="str">
        <f>IF(T$1&gt;$Z$4,"-",IF(COUNTIF($D$3:$D254,T$2)=$Z$3,"Full",SUMIFS($C$3:$C254,$D$3:$D254,T$2)))</f>
        <v>-</v>
      </c>
    </row>
    <row r="255" spans="1:20" x14ac:dyDescent="0.25">
      <c r="A255" s="10" t="str">
        <f t="shared" si="156"/>
        <v/>
      </c>
      <c r="D255" s="2" t="str" cm="1">
        <f t="array" aca="1" ref="D255" ca="1">IFERROR(_xlfn.XLOOKUP(MIN(E254:INDIRECT($AA$4&amp;A255+1)),E254:INDIRECT($AA$4&amp;A255+1),$E$2:INDIRECT($AA$4&amp;"$2")),"-")</f>
        <v>-</v>
      </c>
      <c r="E255" s="2" t="str">
        <f ca="1">IF(E$1&gt;$Z$4,"-",IF(COUNTIF($D$3:$D255,E$2)=$Z$3,"Full",SUMIFS($C$3:$C255,$D$3:$D255,E$2)))</f>
        <v>Full</v>
      </c>
      <c r="F255" s="2" t="str">
        <f>IF(F$1&gt;$Z$4,"-",IF(COUNTIF($D$3:$D255,F$2)=$Z$3,"Full",SUMIFS($C$3:$C255,$D$3:$D255,F$2)))</f>
        <v>-</v>
      </c>
      <c r="G255" s="2" t="str">
        <f>IF(G$1&gt;$Z$4,"-",IF(COUNTIF($D$3:$D255,G$2)=$Z$3,"Full",SUMIFS($C$3:$C255,$D$3:$D255,G$2)))</f>
        <v>-</v>
      </c>
      <c r="H255" s="2" t="str">
        <f>IF(H$1&gt;$Z$4,"-",IF(COUNTIF($D$3:$D255,H$2)=$Z$3,"Full",SUMIFS($C$3:$C255,$D$3:$D255,H$2)))</f>
        <v>-</v>
      </c>
      <c r="I255" s="2" t="str">
        <f>IF(I$1&gt;$Z$4,"-",IF(COUNTIF($D$3:$D255,I$2)=$Z$3,"Full",SUMIFS($C$3:$C255,$D$3:$D255,I$2)))</f>
        <v>-</v>
      </c>
      <c r="J255" s="2" t="str">
        <f>IF(J$1&gt;$Z$4,"-",IF(COUNTIF($D$3:$D255,J$2)=$Z$3,"Full",SUMIFS($C$3:$C255,$D$3:$D255,J$2)))</f>
        <v>-</v>
      </c>
      <c r="K255" s="2" t="str">
        <f>IF(K$1&gt;$Z$4,"-",IF(COUNTIF($D$3:$D255,K$2)=$Z$3,"Full",SUMIFS($C$3:$C255,$D$3:$D255,K$2)))</f>
        <v>-</v>
      </c>
      <c r="L255" s="2" t="str">
        <f>IF(L$1&gt;$Z$4,"-",IF(COUNTIF($D$3:$D255,L$2)=$Z$3,"Full",SUMIFS($C$3:$C255,$D$3:$D255,L$2)))</f>
        <v>-</v>
      </c>
      <c r="M255" s="2" t="str">
        <f>IF(M$1&gt;$Z$4,"-",IF(COUNTIF($D$3:$D255,M$2)=$Z$3,"Full",SUMIFS($C$3:$C255,$D$3:$D255,M$2)))</f>
        <v>-</v>
      </c>
      <c r="N255" s="2" t="str">
        <f>IF(N$1&gt;$Z$4,"-",IF(COUNTIF($D$3:$D255,N$2)=$Z$3,"Full",SUMIFS($C$3:$C255,$D$3:$D255,N$2)))</f>
        <v>-</v>
      </c>
      <c r="O255" s="2" t="str">
        <f>IF(O$1&gt;$Z$4,"-",IF(COUNTIF($D$3:$D255,O$2)=$Z$3,"Full",SUMIFS($C$3:$C255,$D$3:$D255,O$2)))</f>
        <v>-</v>
      </c>
      <c r="P255" s="2" t="str">
        <f>IF(P$1&gt;$Z$4,"-",IF(COUNTIF($D$3:$D255,P$2)=$Z$3,"Full",SUMIFS($C$3:$C255,$D$3:$D255,P$2)))</f>
        <v>-</v>
      </c>
      <c r="Q255" s="2" t="str">
        <f>IF(Q$1&gt;$Z$4,"-",IF(COUNTIF($D$3:$D255,Q$2)=$Z$3,"Full",SUMIFS($C$3:$C255,$D$3:$D255,Q$2)))</f>
        <v>-</v>
      </c>
      <c r="R255" s="2" t="str">
        <f>IF(R$1&gt;$Z$4,"-",IF(COUNTIF($D$3:$D255,R$2)=$Z$3,"Full",SUMIFS($C$3:$C255,$D$3:$D255,R$2)))</f>
        <v>-</v>
      </c>
      <c r="S255" s="2" t="str">
        <f>IF(S$1&gt;$Z$4,"-",IF(COUNTIF($D$3:$D255,S$2)=$Z$3,"Full",SUMIFS($C$3:$C255,$D$3:$D255,S$2)))</f>
        <v>-</v>
      </c>
      <c r="T255" s="11" t="str">
        <f>IF(T$1&gt;$Z$4,"-",IF(COUNTIF($D$3:$D255,T$2)=$Z$3,"Full",SUMIFS($C$3:$C255,$D$3:$D255,T$2)))</f>
        <v>-</v>
      </c>
    </row>
    <row r="256" spans="1:20" x14ac:dyDescent="0.25">
      <c r="A256" s="10" t="str">
        <f t="shared" si="156"/>
        <v/>
      </c>
      <c r="D256" s="2" t="str" cm="1">
        <f t="array" aca="1" ref="D256" ca="1">IFERROR(_xlfn.XLOOKUP(MIN(E255:INDIRECT($AA$4&amp;A256+1)),E255:INDIRECT($AA$4&amp;A256+1),$E$2:INDIRECT($AA$4&amp;"$2")),"-")</f>
        <v>-</v>
      </c>
      <c r="E256" s="2" t="str">
        <f ca="1">IF(E$1&gt;$Z$4,"-",IF(COUNTIF($D$3:$D256,E$2)=$Z$3,"Full",SUMIFS($C$3:$C256,$D$3:$D256,E$2)))</f>
        <v>Full</v>
      </c>
      <c r="F256" s="2" t="str">
        <f>IF(F$1&gt;$Z$4,"-",IF(COUNTIF($D$3:$D256,F$2)=$Z$3,"Full",SUMIFS($C$3:$C256,$D$3:$D256,F$2)))</f>
        <v>-</v>
      </c>
      <c r="G256" s="2" t="str">
        <f>IF(G$1&gt;$Z$4,"-",IF(COUNTIF($D$3:$D256,G$2)=$Z$3,"Full",SUMIFS($C$3:$C256,$D$3:$D256,G$2)))</f>
        <v>-</v>
      </c>
      <c r="H256" s="2" t="str">
        <f>IF(H$1&gt;$Z$4,"-",IF(COUNTIF($D$3:$D256,H$2)=$Z$3,"Full",SUMIFS($C$3:$C256,$D$3:$D256,H$2)))</f>
        <v>-</v>
      </c>
      <c r="I256" s="2" t="str">
        <f>IF(I$1&gt;$Z$4,"-",IF(COUNTIF($D$3:$D256,I$2)=$Z$3,"Full",SUMIFS($C$3:$C256,$D$3:$D256,I$2)))</f>
        <v>-</v>
      </c>
      <c r="J256" s="2" t="str">
        <f>IF(J$1&gt;$Z$4,"-",IF(COUNTIF($D$3:$D256,J$2)=$Z$3,"Full",SUMIFS($C$3:$C256,$D$3:$D256,J$2)))</f>
        <v>-</v>
      </c>
      <c r="K256" s="2" t="str">
        <f>IF(K$1&gt;$Z$4,"-",IF(COUNTIF($D$3:$D256,K$2)=$Z$3,"Full",SUMIFS($C$3:$C256,$D$3:$D256,K$2)))</f>
        <v>-</v>
      </c>
      <c r="L256" s="2" t="str">
        <f>IF(L$1&gt;$Z$4,"-",IF(COUNTIF($D$3:$D256,L$2)=$Z$3,"Full",SUMIFS($C$3:$C256,$D$3:$D256,L$2)))</f>
        <v>-</v>
      </c>
      <c r="M256" s="2" t="str">
        <f>IF(M$1&gt;$Z$4,"-",IF(COUNTIF($D$3:$D256,M$2)=$Z$3,"Full",SUMIFS($C$3:$C256,$D$3:$D256,M$2)))</f>
        <v>-</v>
      </c>
      <c r="N256" s="2" t="str">
        <f>IF(N$1&gt;$Z$4,"-",IF(COUNTIF($D$3:$D256,N$2)=$Z$3,"Full",SUMIFS($C$3:$C256,$D$3:$D256,N$2)))</f>
        <v>-</v>
      </c>
      <c r="O256" s="2" t="str">
        <f>IF(O$1&gt;$Z$4,"-",IF(COUNTIF($D$3:$D256,O$2)=$Z$3,"Full",SUMIFS($C$3:$C256,$D$3:$D256,O$2)))</f>
        <v>-</v>
      </c>
      <c r="P256" s="2" t="str">
        <f>IF(P$1&gt;$Z$4,"-",IF(COUNTIF($D$3:$D256,P$2)=$Z$3,"Full",SUMIFS($C$3:$C256,$D$3:$D256,P$2)))</f>
        <v>-</v>
      </c>
      <c r="Q256" s="2" t="str">
        <f>IF(Q$1&gt;$Z$4,"-",IF(COUNTIF($D$3:$D256,Q$2)=$Z$3,"Full",SUMIFS($C$3:$C256,$D$3:$D256,Q$2)))</f>
        <v>-</v>
      </c>
      <c r="R256" s="2" t="str">
        <f>IF(R$1&gt;$Z$4,"-",IF(COUNTIF($D$3:$D256,R$2)=$Z$3,"Full",SUMIFS($C$3:$C256,$D$3:$D256,R$2)))</f>
        <v>-</v>
      </c>
      <c r="S256" s="2" t="str">
        <f>IF(S$1&gt;$Z$4,"-",IF(COUNTIF($D$3:$D256,S$2)=$Z$3,"Full",SUMIFS($C$3:$C256,$D$3:$D256,S$2)))</f>
        <v>-</v>
      </c>
      <c r="T256" s="11" t="str">
        <f>IF(T$1&gt;$Z$4,"-",IF(COUNTIF($D$3:$D256,T$2)=$Z$3,"Full",SUMIFS($C$3:$C256,$D$3:$D256,T$2)))</f>
        <v>-</v>
      </c>
    </row>
    <row r="257" spans="1:20" x14ac:dyDescent="0.25">
      <c r="A257" s="10" t="str">
        <f t="shared" si="156"/>
        <v/>
      </c>
      <c r="D257" s="2" t="str" cm="1">
        <f t="array" aca="1" ref="D257" ca="1">IFERROR(_xlfn.XLOOKUP(MIN(E256:INDIRECT($AA$4&amp;A257+1)),E256:INDIRECT($AA$4&amp;A257+1),$E$2:INDIRECT($AA$4&amp;"$2")),"-")</f>
        <v>-</v>
      </c>
      <c r="E257" s="2" t="str">
        <f ca="1">IF(E$1&gt;$Z$4,"-",IF(COUNTIF($D$3:$D257,E$2)=$Z$3,"Full",SUMIFS($C$3:$C257,$D$3:$D257,E$2)))</f>
        <v>Full</v>
      </c>
      <c r="F257" s="2" t="str">
        <f>IF(F$1&gt;$Z$4,"-",IF(COUNTIF($D$3:$D257,F$2)=$Z$3,"Full",SUMIFS($C$3:$C257,$D$3:$D257,F$2)))</f>
        <v>-</v>
      </c>
      <c r="G257" s="2" t="str">
        <f>IF(G$1&gt;$Z$4,"-",IF(COUNTIF($D$3:$D257,G$2)=$Z$3,"Full",SUMIFS($C$3:$C257,$D$3:$D257,G$2)))</f>
        <v>-</v>
      </c>
      <c r="H257" s="2" t="str">
        <f>IF(H$1&gt;$Z$4,"-",IF(COUNTIF($D$3:$D257,H$2)=$Z$3,"Full",SUMIFS($C$3:$C257,$D$3:$D257,H$2)))</f>
        <v>-</v>
      </c>
      <c r="I257" s="2" t="str">
        <f>IF(I$1&gt;$Z$4,"-",IF(COUNTIF($D$3:$D257,I$2)=$Z$3,"Full",SUMIFS($C$3:$C257,$D$3:$D257,I$2)))</f>
        <v>-</v>
      </c>
      <c r="J257" s="2" t="str">
        <f>IF(J$1&gt;$Z$4,"-",IF(COUNTIF($D$3:$D257,J$2)=$Z$3,"Full",SUMIFS($C$3:$C257,$D$3:$D257,J$2)))</f>
        <v>-</v>
      </c>
      <c r="K257" s="2" t="str">
        <f>IF(K$1&gt;$Z$4,"-",IF(COUNTIF($D$3:$D257,K$2)=$Z$3,"Full",SUMIFS($C$3:$C257,$D$3:$D257,K$2)))</f>
        <v>-</v>
      </c>
      <c r="L257" s="2" t="str">
        <f>IF(L$1&gt;$Z$4,"-",IF(COUNTIF($D$3:$D257,L$2)=$Z$3,"Full",SUMIFS($C$3:$C257,$D$3:$D257,L$2)))</f>
        <v>-</v>
      </c>
      <c r="M257" s="2" t="str">
        <f>IF(M$1&gt;$Z$4,"-",IF(COUNTIF($D$3:$D257,M$2)=$Z$3,"Full",SUMIFS($C$3:$C257,$D$3:$D257,M$2)))</f>
        <v>-</v>
      </c>
      <c r="N257" s="2" t="str">
        <f>IF(N$1&gt;$Z$4,"-",IF(COUNTIF($D$3:$D257,N$2)=$Z$3,"Full",SUMIFS($C$3:$C257,$D$3:$D257,N$2)))</f>
        <v>-</v>
      </c>
      <c r="O257" s="2" t="str">
        <f>IF(O$1&gt;$Z$4,"-",IF(COUNTIF($D$3:$D257,O$2)=$Z$3,"Full",SUMIFS($C$3:$C257,$D$3:$D257,O$2)))</f>
        <v>-</v>
      </c>
      <c r="P257" s="2" t="str">
        <f>IF(P$1&gt;$Z$4,"-",IF(COUNTIF($D$3:$D257,P$2)=$Z$3,"Full",SUMIFS($C$3:$C257,$D$3:$D257,P$2)))</f>
        <v>-</v>
      </c>
      <c r="Q257" s="2" t="str">
        <f>IF(Q$1&gt;$Z$4,"-",IF(COUNTIF($D$3:$D257,Q$2)=$Z$3,"Full",SUMIFS($C$3:$C257,$D$3:$D257,Q$2)))</f>
        <v>-</v>
      </c>
      <c r="R257" s="2" t="str">
        <f>IF(R$1&gt;$Z$4,"-",IF(COUNTIF($D$3:$D257,R$2)=$Z$3,"Full",SUMIFS($C$3:$C257,$D$3:$D257,R$2)))</f>
        <v>-</v>
      </c>
      <c r="S257" s="2" t="str">
        <f>IF(S$1&gt;$Z$4,"-",IF(COUNTIF($D$3:$D257,S$2)=$Z$3,"Full",SUMIFS($C$3:$C257,$D$3:$D257,S$2)))</f>
        <v>-</v>
      </c>
      <c r="T257" s="11" t="str">
        <f>IF(T$1&gt;$Z$4,"-",IF(COUNTIF($D$3:$D257,T$2)=$Z$3,"Full",SUMIFS($C$3:$C257,$D$3:$D257,T$2)))</f>
        <v>-</v>
      </c>
    </row>
    <row r="258" spans="1:20" x14ac:dyDescent="0.25">
      <c r="A258" s="10" t="str">
        <f t="shared" si="156"/>
        <v/>
      </c>
      <c r="D258" s="2" t="str" cm="1">
        <f t="array" aca="1" ref="D258" ca="1">IFERROR(_xlfn.XLOOKUP(MIN(E257:INDIRECT($AA$4&amp;A258+1)),E257:INDIRECT($AA$4&amp;A258+1),$E$2:INDIRECT($AA$4&amp;"$2")),"-")</f>
        <v>-</v>
      </c>
      <c r="E258" s="2" t="str">
        <f ca="1">IF(E$1&gt;$Z$4,"-",IF(COUNTIF($D$3:$D258,E$2)=$Z$3,"Full",SUMIFS($C$3:$C258,$D$3:$D258,E$2)))</f>
        <v>Full</v>
      </c>
      <c r="F258" s="2" t="str">
        <f>IF(F$1&gt;$Z$4,"-",IF(COUNTIF($D$3:$D258,F$2)=$Z$3,"Full",SUMIFS($C$3:$C258,$D$3:$D258,F$2)))</f>
        <v>-</v>
      </c>
      <c r="G258" s="2" t="str">
        <f>IF(G$1&gt;$Z$4,"-",IF(COUNTIF($D$3:$D258,G$2)=$Z$3,"Full",SUMIFS($C$3:$C258,$D$3:$D258,G$2)))</f>
        <v>-</v>
      </c>
      <c r="H258" s="2" t="str">
        <f>IF(H$1&gt;$Z$4,"-",IF(COUNTIF($D$3:$D258,H$2)=$Z$3,"Full",SUMIFS($C$3:$C258,$D$3:$D258,H$2)))</f>
        <v>-</v>
      </c>
      <c r="I258" s="2" t="str">
        <f>IF(I$1&gt;$Z$4,"-",IF(COUNTIF($D$3:$D258,I$2)=$Z$3,"Full",SUMIFS($C$3:$C258,$D$3:$D258,I$2)))</f>
        <v>-</v>
      </c>
      <c r="J258" s="2" t="str">
        <f>IF(J$1&gt;$Z$4,"-",IF(COUNTIF($D$3:$D258,J$2)=$Z$3,"Full",SUMIFS($C$3:$C258,$D$3:$D258,J$2)))</f>
        <v>-</v>
      </c>
      <c r="K258" s="2" t="str">
        <f>IF(K$1&gt;$Z$4,"-",IF(COUNTIF($D$3:$D258,K$2)=$Z$3,"Full",SUMIFS($C$3:$C258,$D$3:$D258,K$2)))</f>
        <v>-</v>
      </c>
      <c r="L258" s="2" t="str">
        <f>IF(L$1&gt;$Z$4,"-",IF(COUNTIF($D$3:$D258,L$2)=$Z$3,"Full",SUMIFS($C$3:$C258,$D$3:$D258,L$2)))</f>
        <v>-</v>
      </c>
      <c r="M258" s="2" t="str">
        <f>IF(M$1&gt;$Z$4,"-",IF(COUNTIF($D$3:$D258,M$2)=$Z$3,"Full",SUMIFS($C$3:$C258,$D$3:$D258,M$2)))</f>
        <v>-</v>
      </c>
      <c r="N258" s="2" t="str">
        <f>IF(N$1&gt;$Z$4,"-",IF(COUNTIF($D$3:$D258,N$2)=$Z$3,"Full",SUMIFS($C$3:$C258,$D$3:$D258,N$2)))</f>
        <v>-</v>
      </c>
      <c r="O258" s="2" t="str">
        <f>IF(O$1&gt;$Z$4,"-",IF(COUNTIF($D$3:$D258,O$2)=$Z$3,"Full",SUMIFS($C$3:$C258,$D$3:$D258,O$2)))</f>
        <v>-</v>
      </c>
      <c r="P258" s="2" t="str">
        <f>IF(P$1&gt;$Z$4,"-",IF(COUNTIF($D$3:$D258,P$2)=$Z$3,"Full",SUMIFS($C$3:$C258,$D$3:$D258,P$2)))</f>
        <v>-</v>
      </c>
      <c r="Q258" s="2" t="str">
        <f>IF(Q$1&gt;$Z$4,"-",IF(COUNTIF($D$3:$D258,Q$2)=$Z$3,"Full",SUMIFS($C$3:$C258,$D$3:$D258,Q$2)))</f>
        <v>-</v>
      </c>
      <c r="R258" s="2" t="str">
        <f>IF(R$1&gt;$Z$4,"-",IF(COUNTIF($D$3:$D258,R$2)=$Z$3,"Full",SUMIFS($C$3:$C258,$D$3:$D258,R$2)))</f>
        <v>-</v>
      </c>
      <c r="S258" s="2" t="str">
        <f>IF(S$1&gt;$Z$4,"-",IF(COUNTIF($D$3:$D258,S$2)=$Z$3,"Full",SUMIFS($C$3:$C258,$D$3:$D258,S$2)))</f>
        <v>-</v>
      </c>
      <c r="T258" s="11" t="str">
        <f>IF(T$1&gt;$Z$4,"-",IF(COUNTIF($D$3:$D258,T$2)=$Z$3,"Full",SUMIFS($C$3:$C258,$D$3:$D258,T$2)))</f>
        <v>-</v>
      </c>
    </row>
    <row r="259" spans="1:20" x14ac:dyDescent="0.25">
      <c r="A259" s="10" t="str">
        <f t="shared" si="156"/>
        <v/>
      </c>
      <c r="D259" s="2" t="str" cm="1">
        <f t="array" aca="1" ref="D259" ca="1">IFERROR(_xlfn.XLOOKUP(MIN(E258:INDIRECT($AA$4&amp;A259+1)),E258:INDIRECT($AA$4&amp;A259+1),$E$2:INDIRECT($AA$4&amp;"$2")),"-")</f>
        <v>-</v>
      </c>
      <c r="E259" s="2" t="str">
        <f ca="1">IF(E$1&gt;$Z$4,"-",IF(COUNTIF($D$3:$D259,E$2)=$Z$3,"Full",SUMIFS($C$3:$C259,$D$3:$D259,E$2)))</f>
        <v>Full</v>
      </c>
      <c r="F259" s="2" t="str">
        <f>IF(F$1&gt;$Z$4,"-",IF(COUNTIF($D$3:$D259,F$2)=$Z$3,"Full",SUMIFS($C$3:$C259,$D$3:$D259,F$2)))</f>
        <v>-</v>
      </c>
      <c r="G259" s="2" t="str">
        <f>IF(G$1&gt;$Z$4,"-",IF(COUNTIF($D$3:$D259,G$2)=$Z$3,"Full",SUMIFS($C$3:$C259,$D$3:$D259,G$2)))</f>
        <v>-</v>
      </c>
      <c r="H259" s="2" t="str">
        <f>IF(H$1&gt;$Z$4,"-",IF(COUNTIF($D$3:$D259,H$2)=$Z$3,"Full",SUMIFS($C$3:$C259,$D$3:$D259,H$2)))</f>
        <v>-</v>
      </c>
      <c r="I259" s="2" t="str">
        <f>IF(I$1&gt;$Z$4,"-",IF(COUNTIF($D$3:$D259,I$2)=$Z$3,"Full",SUMIFS($C$3:$C259,$D$3:$D259,I$2)))</f>
        <v>-</v>
      </c>
      <c r="J259" s="2" t="str">
        <f>IF(J$1&gt;$Z$4,"-",IF(COUNTIF($D$3:$D259,J$2)=$Z$3,"Full",SUMIFS($C$3:$C259,$D$3:$D259,J$2)))</f>
        <v>-</v>
      </c>
      <c r="K259" s="2" t="str">
        <f>IF(K$1&gt;$Z$4,"-",IF(COUNTIF($D$3:$D259,K$2)=$Z$3,"Full",SUMIFS($C$3:$C259,$D$3:$D259,K$2)))</f>
        <v>-</v>
      </c>
      <c r="L259" s="2" t="str">
        <f>IF(L$1&gt;$Z$4,"-",IF(COUNTIF($D$3:$D259,L$2)=$Z$3,"Full",SUMIFS($C$3:$C259,$D$3:$D259,L$2)))</f>
        <v>-</v>
      </c>
      <c r="M259" s="2" t="str">
        <f>IF(M$1&gt;$Z$4,"-",IF(COUNTIF($D$3:$D259,M$2)=$Z$3,"Full",SUMIFS($C$3:$C259,$D$3:$D259,M$2)))</f>
        <v>-</v>
      </c>
      <c r="N259" s="2" t="str">
        <f>IF(N$1&gt;$Z$4,"-",IF(COUNTIF($D$3:$D259,N$2)=$Z$3,"Full",SUMIFS($C$3:$C259,$D$3:$D259,N$2)))</f>
        <v>-</v>
      </c>
      <c r="O259" s="2" t="str">
        <f>IF(O$1&gt;$Z$4,"-",IF(COUNTIF($D$3:$D259,O$2)=$Z$3,"Full",SUMIFS($C$3:$C259,$D$3:$D259,O$2)))</f>
        <v>-</v>
      </c>
      <c r="P259" s="2" t="str">
        <f>IF(P$1&gt;$Z$4,"-",IF(COUNTIF($D$3:$D259,P$2)=$Z$3,"Full",SUMIFS($C$3:$C259,$D$3:$D259,P$2)))</f>
        <v>-</v>
      </c>
      <c r="Q259" s="2" t="str">
        <f>IF(Q$1&gt;$Z$4,"-",IF(COUNTIF($D$3:$D259,Q$2)=$Z$3,"Full",SUMIFS($C$3:$C259,$D$3:$D259,Q$2)))</f>
        <v>-</v>
      </c>
      <c r="R259" s="2" t="str">
        <f>IF(R$1&gt;$Z$4,"-",IF(COUNTIF($D$3:$D259,R$2)=$Z$3,"Full",SUMIFS($C$3:$C259,$D$3:$D259,R$2)))</f>
        <v>-</v>
      </c>
      <c r="S259" s="2" t="str">
        <f>IF(S$1&gt;$Z$4,"-",IF(COUNTIF($D$3:$D259,S$2)=$Z$3,"Full",SUMIFS($C$3:$C259,$D$3:$D259,S$2)))</f>
        <v>-</v>
      </c>
      <c r="T259" s="11" t="str">
        <f>IF(T$1&gt;$Z$4,"-",IF(COUNTIF($D$3:$D259,T$2)=$Z$3,"Full",SUMIFS($C$3:$C259,$D$3:$D259,T$2)))</f>
        <v>-</v>
      </c>
    </row>
    <row r="260" spans="1:20" x14ac:dyDescent="0.25">
      <c r="A260" s="10" t="str">
        <f t="shared" si="156"/>
        <v/>
      </c>
      <c r="D260" s="2" t="str" cm="1">
        <f t="array" aca="1" ref="D260" ca="1">IFERROR(_xlfn.XLOOKUP(MIN(E259:INDIRECT($AA$4&amp;A260+1)),E259:INDIRECT($AA$4&amp;A260+1),$E$2:INDIRECT($AA$4&amp;"$2")),"-")</f>
        <v>-</v>
      </c>
      <c r="E260" s="2" t="str">
        <f ca="1">IF(E$1&gt;$Z$4,"-",IF(COUNTIF($D$3:$D260,E$2)=$Z$3,"Full",SUMIFS($C$3:$C260,$D$3:$D260,E$2)))</f>
        <v>Full</v>
      </c>
      <c r="F260" s="2" t="str">
        <f>IF(F$1&gt;$Z$4,"-",IF(COUNTIF($D$3:$D260,F$2)=$Z$3,"Full",SUMIFS($C$3:$C260,$D$3:$D260,F$2)))</f>
        <v>-</v>
      </c>
      <c r="G260" s="2" t="str">
        <f>IF(G$1&gt;$Z$4,"-",IF(COUNTIF($D$3:$D260,G$2)=$Z$3,"Full",SUMIFS($C$3:$C260,$D$3:$D260,G$2)))</f>
        <v>-</v>
      </c>
      <c r="H260" s="2" t="str">
        <f>IF(H$1&gt;$Z$4,"-",IF(COUNTIF($D$3:$D260,H$2)=$Z$3,"Full",SUMIFS($C$3:$C260,$D$3:$D260,H$2)))</f>
        <v>-</v>
      </c>
      <c r="I260" s="2" t="str">
        <f>IF(I$1&gt;$Z$4,"-",IF(COUNTIF($D$3:$D260,I$2)=$Z$3,"Full",SUMIFS($C$3:$C260,$D$3:$D260,I$2)))</f>
        <v>-</v>
      </c>
      <c r="J260" s="2" t="str">
        <f>IF(J$1&gt;$Z$4,"-",IF(COUNTIF($D$3:$D260,J$2)=$Z$3,"Full",SUMIFS($C$3:$C260,$D$3:$D260,J$2)))</f>
        <v>-</v>
      </c>
      <c r="K260" s="2" t="str">
        <f>IF(K$1&gt;$Z$4,"-",IF(COUNTIF($D$3:$D260,K$2)=$Z$3,"Full",SUMIFS($C$3:$C260,$D$3:$D260,K$2)))</f>
        <v>-</v>
      </c>
      <c r="L260" s="2" t="str">
        <f>IF(L$1&gt;$Z$4,"-",IF(COUNTIF($D$3:$D260,L$2)=$Z$3,"Full",SUMIFS($C$3:$C260,$D$3:$D260,L$2)))</f>
        <v>-</v>
      </c>
      <c r="M260" s="2" t="str">
        <f>IF(M$1&gt;$Z$4,"-",IF(COUNTIF($D$3:$D260,M$2)=$Z$3,"Full",SUMIFS($C$3:$C260,$D$3:$D260,M$2)))</f>
        <v>-</v>
      </c>
      <c r="N260" s="2" t="str">
        <f>IF(N$1&gt;$Z$4,"-",IF(COUNTIF($D$3:$D260,N$2)=$Z$3,"Full",SUMIFS($C$3:$C260,$D$3:$D260,N$2)))</f>
        <v>-</v>
      </c>
      <c r="O260" s="2" t="str">
        <f>IF(O$1&gt;$Z$4,"-",IF(COUNTIF($D$3:$D260,O$2)=$Z$3,"Full",SUMIFS($C$3:$C260,$D$3:$D260,O$2)))</f>
        <v>-</v>
      </c>
      <c r="P260" s="2" t="str">
        <f>IF(P$1&gt;$Z$4,"-",IF(COUNTIF($D$3:$D260,P$2)=$Z$3,"Full",SUMIFS($C$3:$C260,$D$3:$D260,P$2)))</f>
        <v>-</v>
      </c>
      <c r="Q260" s="2" t="str">
        <f>IF(Q$1&gt;$Z$4,"-",IF(COUNTIF($D$3:$D260,Q$2)=$Z$3,"Full",SUMIFS($C$3:$C260,$D$3:$D260,Q$2)))</f>
        <v>-</v>
      </c>
      <c r="R260" s="2" t="str">
        <f>IF(R$1&gt;$Z$4,"-",IF(COUNTIF($D$3:$D260,R$2)=$Z$3,"Full",SUMIFS($C$3:$C260,$D$3:$D260,R$2)))</f>
        <v>-</v>
      </c>
      <c r="S260" s="2" t="str">
        <f>IF(S$1&gt;$Z$4,"-",IF(COUNTIF($D$3:$D260,S$2)=$Z$3,"Full",SUMIFS($C$3:$C260,$D$3:$D260,S$2)))</f>
        <v>-</v>
      </c>
      <c r="T260" s="11" t="str">
        <f>IF(T$1&gt;$Z$4,"-",IF(COUNTIF($D$3:$D260,T$2)=$Z$3,"Full",SUMIFS($C$3:$C260,$D$3:$D260,T$2)))</f>
        <v>-</v>
      </c>
    </row>
    <row r="261" spans="1:20" x14ac:dyDescent="0.25">
      <c r="A261" s="10" t="str">
        <f t="shared" ref="A261:A274" si="157">IF(B261="","",A260+1)</f>
        <v/>
      </c>
      <c r="D261" s="2" t="str" cm="1">
        <f t="array" aca="1" ref="D261" ca="1">IFERROR(_xlfn.XLOOKUP(MIN(E260:INDIRECT($AA$4&amp;A261+1)),E260:INDIRECT($AA$4&amp;A261+1),$E$2:INDIRECT($AA$4&amp;"$2")),"-")</f>
        <v>-</v>
      </c>
      <c r="E261" s="2" t="str">
        <f ca="1">IF(E$1&gt;$Z$4,"-",IF(COUNTIF($D$3:$D261,E$2)=$Z$3,"Full",SUMIFS($C$3:$C261,$D$3:$D261,E$2)))</f>
        <v>Full</v>
      </c>
      <c r="F261" s="2" t="str">
        <f>IF(F$1&gt;$Z$4,"-",IF(COUNTIF($D$3:$D261,F$2)=$Z$3,"Full",SUMIFS($C$3:$C261,$D$3:$D261,F$2)))</f>
        <v>-</v>
      </c>
      <c r="G261" s="2" t="str">
        <f>IF(G$1&gt;$Z$4,"-",IF(COUNTIF($D$3:$D261,G$2)=$Z$3,"Full",SUMIFS($C$3:$C261,$D$3:$D261,G$2)))</f>
        <v>-</v>
      </c>
      <c r="H261" s="2" t="str">
        <f>IF(H$1&gt;$Z$4,"-",IF(COUNTIF($D$3:$D261,H$2)=$Z$3,"Full",SUMIFS($C$3:$C261,$D$3:$D261,H$2)))</f>
        <v>-</v>
      </c>
      <c r="I261" s="2" t="str">
        <f>IF(I$1&gt;$Z$4,"-",IF(COUNTIF($D$3:$D261,I$2)=$Z$3,"Full",SUMIFS($C$3:$C261,$D$3:$D261,I$2)))</f>
        <v>-</v>
      </c>
      <c r="J261" s="2" t="str">
        <f>IF(J$1&gt;$Z$4,"-",IF(COUNTIF($D$3:$D261,J$2)=$Z$3,"Full",SUMIFS($C$3:$C261,$D$3:$D261,J$2)))</f>
        <v>-</v>
      </c>
      <c r="K261" s="2" t="str">
        <f>IF(K$1&gt;$Z$4,"-",IF(COUNTIF($D$3:$D261,K$2)=$Z$3,"Full",SUMIFS($C$3:$C261,$D$3:$D261,K$2)))</f>
        <v>-</v>
      </c>
      <c r="L261" s="2" t="str">
        <f>IF(L$1&gt;$Z$4,"-",IF(COUNTIF($D$3:$D261,L$2)=$Z$3,"Full",SUMIFS($C$3:$C261,$D$3:$D261,L$2)))</f>
        <v>-</v>
      </c>
      <c r="M261" s="2" t="str">
        <f>IF(M$1&gt;$Z$4,"-",IF(COUNTIF($D$3:$D261,M$2)=$Z$3,"Full",SUMIFS($C$3:$C261,$D$3:$D261,M$2)))</f>
        <v>-</v>
      </c>
      <c r="N261" s="2" t="str">
        <f>IF(N$1&gt;$Z$4,"-",IF(COUNTIF($D$3:$D261,N$2)=$Z$3,"Full",SUMIFS($C$3:$C261,$D$3:$D261,N$2)))</f>
        <v>-</v>
      </c>
      <c r="O261" s="2" t="str">
        <f>IF(O$1&gt;$Z$4,"-",IF(COUNTIF($D$3:$D261,O$2)=$Z$3,"Full",SUMIFS($C$3:$C261,$D$3:$D261,O$2)))</f>
        <v>-</v>
      </c>
      <c r="P261" s="2" t="str">
        <f>IF(P$1&gt;$Z$4,"-",IF(COUNTIF($D$3:$D261,P$2)=$Z$3,"Full",SUMIFS($C$3:$C261,$D$3:$D261,P$2)))</f>
        <v>-</v>
      </c>
      <c r="Q261" s="2" t="str">
        <f>IF(Q$1&gt;$Z$4,"-",IF(COUNTIF($D$3:$D261,Q$2)=$Z$3,"Full",SUMIFS($C$3:$C261,$D$3:$D261,Q$2)))</f>
        <v>-</v>
      </c>
      <c r="R261" s="2" t="str">
        <f>IF(R$1&gt;$Z$4,"-",IF(COUNTIF($D$3:$D261,R$2)=$Z$3,"Full",SUMIFS($C$3:$C261,$D$3:$D261,R$2)))</f>
        <v>-</v>
      </c>
      <c r="S261" s="2" t="str">
        <f>IF(S$1&gt;$Z$4,"-",IF(COUNTIF($D$3:$D261,S$2)=$Z$3,"Full",SUMIFS($C$3:$C261,$D$3:$D261,S$2)))</f>
        <v>-</v>
      </c>
      <c r="T261" s="11" t="str">
        <f>IF(T$1&gt;$Z$4,"-",IF(COUNTIF($D$3:$D261,T$2)=$Z$3,"Full",SUMIFS($C$3:$C261,$D$3:$D261,T$2)))</f>
        <v>-</v>
      </c>
    </row>
    <row r="262" spans="1:20" x14ac:dyDescent="0.25">
      <c r="A262" s="10" t="str">
        <f t="shared" si="157"/>
        <v/>
      </c>
      <c r="D262" s="2" t="str" cm="1">
        <f t="array" aca="1" ref="D262" ca="1">IFERROR(_xlfn.XLOOKUP(MIN(E261:INDIRECT($AA$4&amp;A262+1)),E261:INDIRECT($AA$4&amp;A262+1),$E$2:INDIRECT($AA$4&amp;"$2")),"-")</f>
        <v>-</v>
      </c>
      <c r="E262" s="2" t="str">
        <f ca="1">IF(E$1&gt;$Z$4,"-",IF(COUNTIF($D$3:$D262,E$2)=$Z$3,"Full",SUMIFS($C$3:$C262,$D$3:$D262,E$2)))</f>
        <v>Full</v>
      </c>
      <c r="F262" s="2" t="str">
        <f>IF(F$1&gt;$Z$4,"-",IF(COUNTIF($D$3:$D262,F$2)=$Z$3,"Full",SUMIFS($C$3:$C262,$D$3:$D262,F$2)))</f>
        <v>-</v>
      </c>
      <c r="G262" s="2" t="str">
        <f>IF(G$1&gt;$Z$4,"-",IF(COUNTIF($D$3:$D262,G$2)=$Z$3,"Full",SUMIFS($C$3:$C262,$D$3:$D262,G$2)))</f>
        <v>-</v>
      </c>
      <c r="H262" s="2" t="str">
        <f>IF(H$1&gt;$Z$4,"-",IF(COUNTIF($D$3:$D262,H$2)=$Z$3,"Full",SUMIFS($C$3:$C262,$D$3:$D262,H$2)))</f>
        <v>-</v>
      </c>
      <c r="I262" s="2" t="str">
        <f>IF(I$1&gt;$Z$4,"-",IF(COUNTIF($D$3:$D262,I$2)=$Z$3,"Full",SUMIFS($C$3:$C262,$D$3:$D262,I$2)))</f>
        <v>-</v>
      </c>
      <c r="J262" s="2" t="str">
        <f>IF(J$1&gt;$Z$4,"-",IF(COUNTIF($D$3:$D262,J$2)=$Z$3,"Full",SUMIFS($C$3:$C262,$D$3:$D262,J$2)))</f>
        <v>-</v>
      </c>
      <c r="K262" s="2" t="str">
        <f>IF(K$1&gt;$Z$4,"-",IF(COUNTIF($D$3:$D262,K$2)=$Z$3,"Full",SUMIFS($C$3:$C262,$D$3:$D262,K$2)))</f>
        <v>-</v>
      </c>
      <c r="L262" s="2" t="str">
        <f>IF(L$1&gt;$Z$4,"-",IF(COUNTIF($D$3:$D262,L$2)=$Z$3,"Full",SUMIFS($C$3:$C262,$D$3:$D262,L$2)))</f>
        <v>-</v>
      </c>
      <c r="M262" s="2" t="str">
        <f>IF(M$1&gt;$Z$4,"-",IF(COUNTIF($D$3:$D262,M$2)=$Z$3,"Full",SUMIFS($C$3:$C262,$D$3:$D262,M$2)))</f>
        <v>-</v>
      </c>
      <c r="N262" s="2" t="str">
        <f>IF(N$1&gt;$Z$4,"-",IF(COUNTIF($D$3:$D262,N$2)=$Z$3,"Full",SUMIFS($C$3:$C262,$D$3:$D262,N$2)))</f>
        <v>-</v>
      </c>
      <c r="O262" s="2" t="str">
        <f>IF(O$1&gt;$Z$4,"-",IF(COUNTIF($D$3:$D262,O$2)=$Z$3,"Full",SUMIFS($C$3:$C262,$D$3:$D262,O$2)))</f>
        <v>-</v>
      </c>
      <c r="P262" s="2" t="str">
        <f>IF(P$1&gt;$Z$4,"-",IF(COUNTIF($D$3:$D262,P$2)=$Z$3,"Full",SUMIFS($C$3:$C262,$D$3:$D262,P$2)))</f>
        <v>-</v>
      </c>
      <c r="Q262" s="2" t="str">
        <f>IF(Q$1&gt;$Z$4,"-",IF(COUNTIF($D$3:$D262,Q$2)=$Z$3,"Full",SUMIFS($C$3:$C262,$D$3:$D262,Q$2)))</f>
        <v>-</v>
      </c>
      <c r="R262" s="2" t="str">
        <f>IF(R$1&gt;$Z$4,"-",IF(COUNTIF($D$3:$D262,R$2)=$Z$3,"Full",SUMIFS($C$3:$C262,$D$3:$D262,R$2)))</f>
        <v>-</v>
      </c>
      <c r="S262" s="2" t="str">
        <f>IF(S$1&gt;$Z$4,"-",IF(COUNTIF($D$3:$D262,S$2)=$Z$3,"Full",SUMIFS($C$3:$C262,$D$3:$D262,S$2)))</f>
        <v>-</v>
      </c>
      <c r="T262" s="11" t="str">
        <f>IF(T$1&gt;$Z$4,"-",IF(COUNTIF($D$3:$D262,T$2)=$Z$3,"Full",SUMIFS($C$3:$C262,$D$3:$D262,T$2)))</f>
        <v>-</v>
      </c>
    </row>
    <row r="263" spans="1:20" x14ac:dyDescent="0.25">
      <c r="A263" s="10" t="str">
        <f t="shared" si="157"/>
        <v/>
      </c>
      <c r="D263" s="2" t="str" cm="1">
        <f t="array" aca="1" ref="D263" ca="1">IFERROR(_xlfn.XLOOKUP(MIN(E262:INDIRECT($AA$4&amp;A263+1)),E262:INDIRECT($AA$4&amp;A263+1),$E$2:INDIRECT($AA$4&amp;"$2")),"-")</f>
        <v>-</v>
      </c>
      <c r="E263" s="2" t="str">
        <f ca="1">IF(E$1&gt;$Z$4,"-",IF(COUNTIF($D$3:$D263,E$2)=$Z$3,"Full",SUMIFS($C$3:$C263,$D$3:$D263,E$2)))</f>
        <v>Full</v>
      </c>
      <c r="F263" s="2" t="str">
        <f>IF(F$1&gt;$Z$4,"-",IF(COUNTIF($D$3:$D263,F$2)=$Z$3,"Full",SUMIFS($C$3:$C263,$D$3:$D263,F$2)))</f>
        <v>-</v>
      </c>
      <c r="G263" s="2" t="str">
        <f>IF(G$1&gt;$Z$4,"-",IF(COUNTIF($D$3:$D263,G$2)=$Z$3,"Full",SUMIFS($C$3:$C263,$D$3:$D263,G$2)))</f>
        <v>-</v>
      </c>
      <c r="H263" s="2" t="str">
        <f>IF(H$1&gt;$Z$4,"-",IF(COUNTIF($D$3:$D263,H$2)=$Z$3,"Full",SUMIFS($C$3:$C263,$D$3:$D263,H$2)))</f>
        <v>-</v>
      </c>
      <c r="I263" s="2" t="str">
        <f>IF(I$1&gt;$Z$4,"-",IF(COUNTIF($D$3:$D263,I$2)=$Z$3,"Full",SUMIFS($C$3:$C263,$D$3:$D263,I$2)))</f>
        <v>-</v>
      </c>
      <c r="J263" s="2" t="str">
        <f>IF(J$1&gt;$Z$4,"-",IF(COUNTIF($D$3:$D263,J$2)=$Z$3,"Full",SUMIFS($C$3:$C263,$D$3:$D263,J$2)))</f>
        <v>-</v>
      </c>
      <c r="K263" s="2" t="str">
        <f>IF(K$1&gt;$Z$4,"-",IF(COUNTIF($D$3:$D263,K$2)=$Z$3,"Full",SUMIFS($C$3:$C263,$D$3:$D263,K$2)))</f>
        <v>-</v>
      </c>
      <c r="L263" s="2" t="str">
        <f>IF(L$1&gt;$Z$4,"-",IF(COUNTIF($D$3:$D263,L$2)=$Z$3,"Full",SUMIFS($C$3:$C263,$D$3:$D263,L$2)))</f>
        <v>-</v>
      </c>
      <c r="M263" s="2" t="str">
        <f>IF(M$1&gt;$Z$4,"-",IF(COUNTIF($D$3:$D263,M$2)=$Z$3,"Full",SUMIFS($C$3:$C263,$D$3:$D263,M$2)))</f>
        <v>-</v>
      </c>
      <c r="N263" s="2" t="str">
        <f>IF(N$1&gt;$Z$4,"-",IF(COUNTIF($D$3:$D263,N$2)=$Z$3,"Full",SUMIFS($C$3:$C263,$D$3:$D263,N$2)))</f>
        <v>-</v>
      </c>
      <c r="O263" s="2" t="str">
        <f>IF(O$1&gt;$Z$4,"-",IF(COUNTIF($D$3:$D263,O$2)=$Z$3,"Full",SUMIFS($C$3:$C263,$D$3:$D263,O$2)))</f>
        <v>-</v>
      </c>
      <c r="P263" s="2" t="str">
        <f>IF(P$1&gt;$Z$4,"-",IF(COUNTIF($D$3:$D263,P$2)=$Z$3,"Full",SUMIFS($C$3:$C263,$D$3:$D263,P$2)))</f>
        <v>-</v>
      </c>
      <c r="Q263" s="2" t="str">
        <f>IF(Q$1&gt;$Z$4,"-",IF(COUNTIF($D$3:$D263,Q$2)=$Z$3,"Full",SUMIFS($C$3:$C263,$D$3:$D263,Q$2)))</f>
        <v>-</v>
      </c>
      <c r="R263" s="2" t="str">
        <f>IF(R$1&gt;$Z$4,"-",IF(COUNTIF($D$3:$D263,R$2)=$Z$3,"Full",SUMIFS($C$3:$C263,$D$3:$D263,R$2)))</f>
        <v>-</v>
      </c>
      <c r="S263" s="2" t="str">
        <f>IF(S$1&gt;$Z$4,"-",IF(COUNTIF($D$3:$D263,S$2)=$Z$3,"Full",SUMIFS($C$3:$C263,$D$3:$D263,S$2)))</f>
        <v>-</v>
      </c>
      <c r="T263" s="11" t="str">
        <f>IF(T$1&gt;$Z$4,"-",IF(COUNTIF($D$3:$D263,T$2)=$Z$3,"Full",SUMIFS($C$3:$C263,$D$3:$D263,T$2)))</f>
        <v>-</v>
      </c>
    </row>
    <row r="264" spans="1:20" x14ac:dyDescent="0.25">
      <c r="A264" s="10" t="str">
        <f t="shared" si="157"/>
        <v/>
      </c>
      <c r="D264" s="2" t="str" cm="1">
        <f t="array" aca="1" ref="D264" ca="1">IFERROR(_xlfn.XLOOKUP(MIN(E263:INDIRECT($AA$4&amp;A264+1)),E263:INDIRECT($AA$4&amp;A264+1),$E$2:INDIRECT($AA$4&amp;"$2")),"-")</f>
        <v>-</v>
      </c>
      <c r="E264" s="2" t="str">
        <f ca="1">IF(E$1&gt;$Z$4,"-",IF(COUNTIF($D$3:$D264,E$2)=$Z$3,"Full",SUMIFS($C$3:$C264,$D$3:$D264,E$2)))</f>
        <v>Full</v>
      </c>
      <c r="F264" s="2" t="str">
        <f>IF(F$1&gt;$Z$4,"-",IF(COUNTIF($D$3:$D264,F$2)=$Z$3,"Full",SUMIFS($C$3:$C264,$D$3:$D264,F$2)))</f>
        <v>-</v>
      </c>
      <c r="G264" s="2" t="str">
        <f>IF(G$1&gt;$Z$4,"-",IF(COUNTIF($D$3:$D264,G$2)=$Z$3,"Full",SUMIFS($C$3:$C264,$D$3:$D264,G$2)))</f>
        <v>-</v>
      </c>
      <c r="H264" s="2" t="str">
        <f>IF(H$1&gt;$Z$4,"-",IF(COUNTIF($D$3:$D264,H$2)=$Z$3,"Full",SUMIFS($C$3:$C264,$D$3:$D264,H$2)))</f>
        <v>-</v>
      </c>
      <c r="I264" s="2" t="str">
        <f>IF(I$1&gt;$Z$4,"-",IF(COUNTIF($D$3:$D264,I$2)=$Z$3,"Full",SUMIFS($C$3:$C264,$D$3:$D264,I$2)))</f>
        <v>-</v>
      </c>
      <c r="J264" s="2" t="str">
        <f>IF(J$1&gt;$Z$4,"-",IF(COUNTIF($D$3:$D264,J$2)=$Z$3,"Full",SUMIFS($C$3:$C264,$D$3:$D264,J$2)))</f>
        <v>-</v>
      </c>
      <c r="K264" s="2" t="str">
        <f>IF(K$1&gt;$Z$4,"-",IF(COUNTIF($D$3:$D264,K$2)=$Z$3,"Full",SUMIFS($C$3:$C264,$D$3:$D264,K$2)))</f>
        <v>-</v>
      </c>
      <c r="L264" s="2" t="str">
        <f>IF(L$1&gt;$Z$4,"-",IF(COUNTIF($D$3:$D264,L$2)=$Z$3,"Full",SUMIFS($C$3:$C264,$D$3:$D264,L$2)))</f>
        <v>-</v>
      </c>
      <c r="M264" s="2" t="str">
        <f>IF(M$1&gt;$Z$4,"-",IF(COUNTIF($D$3:$D264,M$2)=$Z$3,"Full",SUMIFS($C$3:$C264,$D$3:$D264,M$2)))</f>
        <v>-</v>
      </c>
      <c r="N264" s="2" t="str">
        <f>IF(N$1&gt;$Z$4,"-",IF(COUNTIF($D$3:$D264,N$2)=$Z$3,"Full",SUMIFS($C$3:$C264,$D$3:$D264,N$2)))</f>
        <v>-</v>
      </c>
      <c r="O264" s="2" t="str">
        <f>IF(O$1&gt;$Z$4,"-",IF(COUNTIF($D$3:$D264,O$2)=$Z$3,"Full",SUMIFS($C$3:$C264,$D$3:$D264,O$2)))</f>
        <v>-</v>
      </c>
      <c r="P264" s="2" t="str">
        <f>IF(P$1&gt;$Z$4,"-",IF(COUNTIF($D$3:$D264,P$2)=$Z$3,"Full",SUMIFS($C$3:$C264,$D$3:$D264,P$2)))</f>
        <v>-</v>
      </c>
      <c r="Q264" s="2" t="str">
        <f>IF(Q$1&gt;$Z$4,"-",IF(COUNTIF($D$3:$D264,Q$2)=$Z$3,"Full",SUMIFS($C$3:$C264,$D$3:$D264,Q$2)))</f>
        <v>-</v>
      </c>
      <c r="R264" s="2" t="str">
        <f>IF(R$1&gt;$Z$4,"-",IF(COUNTIF($D$3:$D264,R$2)=$Z$3,"Full",SUMIFS($C$3:$C264,$D$3:$D264,R$2)))</f>
        <v>-</v>
      </c>
      <c r="S264" s="2" t="str">
        <f>IF(S$1&gt;$Z$4,"-",IF(COUNTIF($D$3:$D264,S$2)=$Z$3,"Full",SUMIFS($C$3:$C264,$D$3:$D264,S$2)))</f>
        <v>-</v>
      </c>
      <c r="T264" s="11" t="str">
        <f>IF(T$1&gt;$Z$4,"-",IF(COUNTIF($D$3:$D264,T$2)=$Z$3,"Full",SUMIFS($C$3:$C264,$D$3:$D264,T$2)))</f>
        <v>-</v>
      </c>
    </row>
    <row r="265" spans="1:20" x14ac:dyDescent="0.25">
      <c r="A265" s="10" t="str">
        <f t="shared" si="157"/>
        <v/>
      </c>
      <c r="D265" s="2" t="str" cm="1">
        <f t="array" aca="1" ref="D265" ca="1">IFERROR(_xlfn.XLOOKUP(MIN(E264:INDIRECT($AA$4&amp;A265+1)),E264:INDIRECT($AA$4&amp;A265+1),$E$2:INDIRECT($AA$4&amp;"$2")),"-")</f>
        <v>-</v>
      </c>
      <c r="E265" s="2" t="str">
        <f ca="1">IF(E$1&gt;$Z$4,"-",IF(COUNTIF($D$3:$D265,E$2)=$Z$3,"Full",SUMIFS($C$3:$C265,$D$3:$D265,E$2)))</f>
        <v>Full</v>
      </c>
      <c r="F265" s="2" t="str">
        <f>IF(F$1&gt;$Z$4,"-",IF(COUNTIF($D$3:$D265,F$2)=$Z$3,"Full",SUMIFS($C$3:$C265,$D$3:$D265,F$2)))</f>
        <v>-</v>
      </c>
      <c r="G265" s="2" t="str">
        <f>IF(G$1&gt;$Z$4,"-",IF(COUNTIF($D$3:$D265,G$2)=$Z$3,"Full",SUMIFS($C$3:$C265,$D$3:$D265,G$2)))</f>
        <v>-</v>
      </c>
      <c r="H265" s="2" t="str">
        <f>IF(H$1&gt;$Z$4,"-",IF(COUNTIF($D$3:$D265,H$2)=$Z$3,"Full",SUMIFS($C$3:$C265,$D$3:$D265,H$2)))</f>
        <v>-</v>
      </c>
      <c r="I265" s="2" t="str">
        <f>IF(I$1&gt;$Z$4,"-",IF(COUNTIF($D$3:$D265,I$2)=$Z$3,"Full",SUMIFS($C$3:$C265,$D$3:$D265,I$2)))</f>
        <v>-</v>
      </c>
      <c r="J265" s="2" t="str">
        <f>IF(J$1&gt;$Z$4,"-",IF(COUNTIF($D$3:$D265,J$2)=$Z$3,"Full",SUMIFS($C$3:$C265,$D$3:$D265,J$2)))</f>
        <v>-</v>
      </c>
      <c r="K265" s="2" t="str">
        <f>IF(K$1&gt;$Z$4,"-",IF(COUNTIF($D$3:$D265,K$2)=$Z$3,"Full",SUMIFS($C$3:$C265,$D$3:$D265,K$2)))</f>
        <v>-</v>
      </c>
      <c r="L265" s="2" t="str">
        <f>IF(L$1&gt;$Z$4,"-",IF(COUNTIF($D$3:$D265,L$2)=$Z$3,"Full",SUMIFS($C$3:$C265,$D$3:$D265,L$2)))</f>
        <v>-</v>
      </c>
      <c r="M265" s="2" t="str">
        <f>IF(M$1&gt;$Z$4,"-",IF(COUNTIF($D$3:$D265,M$2)=$Z$3,"Full",SUMIFS($C$3:$C265,$D$3:$D265,M$2)))</f>
        <v>-</v>
      </c>
      <c r="N265" s="2" t="str">
        <f>IF(N$1&gt;$Z$4,"-",IF(COUNTIF($D$3:$D265,N$2)=$Z$3,"Full",SUMIFS($C$3:$C265,$D$3:$D265,N$2)))</f>
        <v>-</v>
      </c>
      <c r="O265" s="2" t="str">
        <f>IF(O$1&gt;$Z$4,"-",IF(COUNTIF($D$3:$D265,O$2)=$Z$3,"Full",SUMIFS($C$3:$C265,$D$3:$D265,O$2)))</f>
        <v>-</v>
      </c>
      <c r="P265" s="2" t="str">
        <f>IF(P$1&gt;$Z$4,"-",IF(COUNTIF($D$3:$D265,P$2)=$Z$3,"Full",SUMIFS($C$3:$C265,$D$3:$D265,P$2)))</f>
        <v>-</v>
      </c>
      <c r="Q265" s="2" t="str">
        <f>IF(Q$1&gt;$Z$4,"-",IF(COUNTIF($D$3:$D265,Q$2)=$Z$3,"Full",SUMIFS($C$3:$C265,$D$3:$D265,Q$2)))</f>
        <v>-</v>
      </c>
      <c r="R265" s="2" t="str">
        <f>IF(R$1&gt;$Z$4,"-",IF(COUNTIF($D$3:$D265,R$2)=$Z$3,"Full",SUMIFS($C$3:$C265,$D$3:$D265,R$2)))</f>
        <v>-</v>
      </c>
      <c r="S265" s="2" t="str">
        <f>IF(S$1&gt;$Z$4,"-",IF(COUNTIF($D$3:$D265,S$2)=$Z$3,"Full",SUMIFS($C$3:$C265,$D$3:$D265,S$2)))</f>
        <v>-</v>
      </c>
      <c r="T265" s="11" t="str">
        <f>IF(T$1&gt;$Z$4,"-",IF(COUNTIF($D$3:$D265,T$2)=$Z$3,"Full",SUMIFS($C$3:$C265,$D$3:$D265,T$2)))</f>
        <v>-</v>
      </c>
    </row>
    <row r="266" spans="1:20" x14ac:dyDescent="0.25">
      <c r="A266" s="10" t="str">
        <f t="shared" si="157"/>
        <v/>
      </c>
      <c r="D266" s="2" t="str" cm="1">
        <f t="array" aca="1" ref="D266" ca="1">IFERROR(_xlfn.XLOOKUP(MIN(E265:INDIRECT($AA$4&amp;A266+1)),E265:INDIRECT($AA$4&amp;A266+1),$E$2:INDIRECT($AA$4&amp;"$2")),"-")</f>
        <v>-</v>
      </c>
      <c r="E266" s="2" t="str">
        <f ca="1">IF(E$1&gt;$Z$4,"-",IF(COUNTIF($D$3:$D266,E$2)=$Z$3,"Full",SUMIFS($C$3:$C266,$D$3:$D266,E$2)))</f>
        <v>Full</v>
      </c>
      <c r="F266" s="2" t="str">
        <f>IF(F$1&gt;$Z$4,"-",IF(COUNTIF($D$3:$D266,F$2)=$Z$3,"Full",SUMIFS($C$3:$C266,$D$3:$D266,F$2)))</f>
        <v>-</v>
      </c>
      <c r="G266" s="2" t="str">
        <f>IF(G$1&gt;$Z$4,"-",IF(COUNTIF($D$3:$D266,G$2)=$Z$3,"Full",SUMIFS($C$3:$C266,$D$3:$D266,G$2)))</f>
        <v>-</v>
      </c>
      <c r="H266" s="2" t="str">
        <f>IF(H$1&gt;$Z$4,"-",IF(COUNTIF($D$3:$D266,H$2)=$Z$3,"Full",SUMIFS($C$3:$C266,$D$3:$D266,H$2)))</f>
        <v>-</v>
      </c>
      <c r="I266" s="2" t="str">
        <f>IF(I$1&gt;$Z$4,"-",IF(COUNTIF($D$3:$D266,I$2)=$Z$3,"Full",SUMIFS($C$3:$C266,$D$3:$D266,I$2)))</f>
        <v>-</v>
      </c>
      <c r="J266" s="2" t="str">
        <f>IF(J$1&gt;$Z$4,"-",IF(COUNTIF($D$3:$D266,J$2)=$Z$3,"Full",SUMIFS($C$3:$C266,$D$3:$D266,J$2)))</f>
        <v>-</v>
      </c>
      <c r="K266" s="2" t="str">
        <f>IF(K$1&gt;$Z$4,"-",IF(COUNTIF($D$3:$D266,K$2)=$Z$3,"Full",SUMIFS($C$3:$C266,$D$3:$D266,K$2)))</f>
        <v>-</v>
      </c>
      <c r="L266" s="2" t="str">
        <f>IF(L$1&gt;$Z$4,"-",IF(COUNTIF($D$3:$D266,L$2)=$Z$3,"Full",SUMIFS($C$3:$C266,$D$3:$D266,L$2)))</f>
        <v>-</v>
      </c>
      <c r="M266" s="2" t="str">
        <f>IF(M$1&gt;$Z$4,"-",IF(COUNTIF($D$3:$D266,M$2)=$Z$3,"Full",SUMIFS($C$3:$C266,$D$3:$D266,M$2)))</f>
        <v>-</v>
      </c>
      <c r="N266" s="2" t="str">
        <f>IF(N$1&gt;$Z$4,"-",IF(COUNTIF($D$3:$D266,N$2)=$Z$3,"Full",SUMIFS($C$3:$C266,$D$3:$D266,N$2)))</f>
        <v>-</v>
      </c>
      <c r="O266" s="2" t="str">
        <f>IF(O$1&gt;$Z$4,"-",IF(COUNTIF($D$3:$D266,O$2)=$Z$3,"Full",SUMIFS($C$3:$C266,$D$3:$D266,O$2)))</f>
        <v>-</v>
      </c>
      <c r="P266" s="2" t="str">
        <f>IF(P$1&gt;$Z$4,"-",IF(COUNTIF($D$3:$D266,P$2)=$Z$3,"Full",SUMIFS($C$3:$C266,$D$3:$D266,P$2)))</f>
        <v>-</v>
      </c>
      <c r="Q266" s="2" t="str">
        <f>IF(Q$1&gt;$Z$4,"-",IF(COUNTIF($D$3:$D266,Q$2)=$Z$3,"Full",SUMIFS($C$3:$C266,$D$3:$D266,Q$2)))</f>
        <v>-</v>
      </c>
      <c r="R266" s="2" t="str">
        <f>IF(R$1&gt;$Z$4,"-",IF(COUNTIF($D$3:$D266,R$2)=$Z$3,"Full",SUMIFS($C$3:$C266,$D$3:$D266,R$2)))</f>
        <v>-</v>
      </c>
      <c r="S266" s="2" t="str">
        <f>IF(S$1&gt;$Z$4,"-",IF(COUNTIF($D$3:$D266,S$2)=$Z$3,"Full",SUMIFS($C$3:$C266,$D$3:$D266,S$2)))</f>
        <v>-</v>
      </c>
      <c r="T266" s="11" t="str">
        <f>IF(T$1&gt;$Z$4,"-",IF(COUNTIF($D$3:$D266,T$2)=$Z$3,"Full",SUMIFS($C$3:$C266,$D$3:$D266,T$2)))</f>
        <v>-</v>
      </c>
    </row>
    <row r="267" spans="1:20" x14ac:dyDescent="0.25">
      <c r="A267" s="10" t="str">
        <f t="shared" si="157"/>
        <v/>
      </c>
      <c r="D267" s="2" t="str" cm="1">
        <f t="array" aca="1" ref="D267" ca="1">IFERROR(_xlfn.XLOOKUP(MIN(E266:INDIRECT($AA$4&amp;A267+1)),E266:INDIRECT($AA$4&amp;A267+1),$E$2:INDIRECT($AA$4&amp;"$2")),"-")</f>
        <v>-</v>
      </c>
      <c r="E267" s="2" t="str">
        <f ca="1">IF(E$1&gt;$Z$4,"-",IF(COUNTIF($D$3:$D267,E$2)=$Z$3,"Full",SUMIFS($C$3:$C267,$D$3:$D267,E$2)))</f>
        <v>Full</v>
      </c>
      <c r="F267" s="2" t="str">
        <f>IF(F$1&gt;$Z$4,"-",IF(COUNTIF($D$3:$D267,F$2)=$Z$3,"Full",SUMIFS($C$3:$C267,$D$3:$D267,F$2)))</f>
        <v>-</v>
      </c>
      <c r="G267" s="2" t="str">
        <f>IF(G$1&gt;$Z$4,"-",IF(COUNTIF($D$3:$D267,G$2)=$Z$3,"Full",SUMIFS($C$3:$C267,$D$3:$D267,G$2)))</f>
        <v>-</v>
      </c>
      <c r="H267" s="2" t="str">
        <f>IF(H$1&gt;$Z$4,"-",IF(COUNTIF($D$3:$D267,H$2)=$Z$3,"Full",SUMIFS($C$3:$C267,$D$3:$D267,H$2)))</f>
        <v>-</v>
      </c>
      <c r="I267" s="2" t="str">
        <f>IF(I$1&gt;$Z$4,"-",IF(COUNTIF($D$3:$D267,I$2)=$Z$3,"Full",SUMIFS($C$3:$C267,$D$3:$D267,I$2)))</f>
        <v>-</v>
      </c>
      <c r="J267" s="2" t="str">
        <f>IF(J$1&gt;$Z$4,"-",IF(COUNTIF($D$3:$D267,J$2)=$Z$3,"Full",SUMIFS($C$3:$C267,$D$3:$D267,J$2)))</f>
        <v>-</v>
      </c>
      <c r="K267" s="2" t="str">
        <f>IF(K$1&gt;$Z$4,"-",IF(COUNTIF($D$3:$D267,K$2)=$Z$3,"Full",SUMIFS($C$3:$C267,$D$3:$D267,K$2)))</f>
        <v>-</v>
      </c>
      <c r="L267" s="2" t="str">
        <f>IF(L$1&gt;$Z$4,"-",IF(COUNTIF($D$3:$D267,L$2)=$Z$3,"Full",SUMIFS($C$3:$C267,$D$3:$D267,L$2)))</f>
        <v>-</v>
      </c>
      <c r="M267" s="2" t="str">
        <f>IF(M$1&gt;$Z$4,"-",IF(COUNTIF($D$3:$D267,M$2)=$Z$3,"Full",SUMIFS($C$3:$C267,$D$3:$D267,M$2)))</f>
        <v>-</v>
      </c>
      <c r="N267" s="2" t="str">
        <f>IF(N$1&gt;$Z$4,"-",IF(COUNTIF($D$3:$D267,N$2)=$Z$3,"Full",SUMIFS($C$3:$C267,$D$3:$D267,N$2)))</f>
        <v>-</v>
      </c>
      <c r="O267" s="2" t="str">
        <f>IF(O$1&gt;$Z$4,"-",IF(COUNTIF($D$3:$D267,O$2)=$Z$3,"Full",SUMIFS($C$3:$C267,$D$3:$D267,O$2)))</f>
        <v>-</v>
      </c>
      <c r="P267" s="2" t="str">
        <f>IF(P$1&gt;$Z$4,"-",IF(COUNTIF($D$3:$D267,P$2)=$Z$3,"Full",SUMIFS($C$3:$C267,$D$3:$D267,P$2)))</f>
        <v>-</v>
      </c>
      <c r="Q267" s="2" t="str">
        <f>IF(Q$1&gt;$Z$4,"-",IF(COUNTIF($D$3:$D267,Q$2)=$Z$3,"Full",SUMIFS($C$3:$C267,$D$3:$D267,Q$2)))</f>
        <v>-</v>
      </c>
      <c r="R267" s="2" t="str">
        <f>IF(R$1&gt;$Z$4,"-",IF(COUNTIF($D$3:$D267,R$2)=$Z$3,"Full",SUMIFS($C$3:$C267,$D$3:$D267,R$2)))</f>
        <v>-</v>
      </c>
      <c r="S267" s="2" t="str">
        <f>IF(S$1&gt;$Z$4,"-",IF(COUNTIF($D$3:$D267,S$2)=$Z$3,"Full",SUMIFS($C$3:$C267,$D$3:$D267,S$2)))</f>
        <v>-</v>
      </c>
      <c r="T267" s="11" t="str">
        <f>IF(T$1&gt;$Z$4,"-",IF(COUNTIF($D$3:$D267,T$2)=$Z$3,"Full",SUMIFS($C$3:$C267,$D$3:$D267,T$2)))</f>
        <v>-</v>
      </c>
    </row>
    <row r="268" spans="1:20" x14ac:dyDescent="0.25">
      <c r="A268" s="10" t="str">
        <f t="shared" si="157"/>
        <v/>
      </c>
      <c r="D268" s="2" t="str" cm="1">
        <f t="array" aca="1" ref="D268" ca="1">IFERROR(_xlfn.XLOOKUP(MIN(E267:INDIRECT($AA$4&amp;A268+1)),E267:INDIRECT($AA$4&amp;A268+1),$E$2:INDIRECT($AA$4&amp;"$2")),"-")</f>
        <v>-</v>
      </c>
      <c r="E268" s="2" t="str">
        <f ca="1">IF(E$1&gt;$Z$4,"-",IF(COUNTIF($D$3:$D268,E$2)=$Z$3,"Full",SUMIFS($C$3:$C268,$D$3:$D268,E$2)))</f>
        <v>Full</v>
      </c>
      <c r="F268" s="2" t="str">
        <f>IF(F$1&gt;$Z$4,"-",IF(COUNTIF($D$3:$D268,F$2)=$Z$3,"Full",SUMIFS($C$3:$C268,$D$3:$D268,F$2)))</f>
        <v>-</v>
      </c>
      <c r="G268" s="2" t="str">
        <f>IF(G$1&gt;$Z$4,"-",IF(COUNTIF($D$3:$D268,G$2)=$Z$3,"Full",SUMIFS($C$3:$C268,$D$3:$D268,G$2)))</f>
        <v>-</v>
      </c>
      <c r="H268" s="2" t="str">
        <f>IF(H$1&gt;$Z$4,"-",IF(COUNTIF($D$3:$D268,H$2)=$Z$3,"Full",SUMIFS($C$3:$C268,$D$3:$D268,H$2)))</f>
        <v>-</v>
      </c>
      <c r="I268" s="2" t="str">
        <f>IF(I$1&gt;$Z$4,"-",IF(COUNTIF($D$3:$D268,I$2)=$Z$3,"Full",SUMIFS($C$3:$C268,$D$3:$D268,I$2)))</f>
        <v>-</v>
      </c>
      <c r="J268" s="2" t="str">
        <f>IF(J$1&gt;$Z$4,"-",IF(COUNTIF($D$3:$D268,J$2)=$Z$3,"Full",SUMIFS($C$3:$C268,$D$3:$D268,J$2)))</f>
        <v>-</v>
      </c>
      <c r="K268" s="2" t="str">
        <f>IF(K$1&gt;$Z$4,"-",IF(COUNTIF($D$3:$D268,K$2)=$Z$3,"Full",SUMIFS($C$3:$C268,$D$3:$D268,K$2)))</f>
        <v>-</v>
      </c>
      <c r="L268" s="2" t="str">
        <f>IF(L$1&gt;$Z$4,"-",IF(COUNTIF($D$3:$D268,L$2)=$Z$3,"Full",SUMIFS($C$3:$C268,$D$3:$D268,L$2)))</f>
        <v>-</v>
      </c>
      <c r="M268" s="2" t="str">
        <f>IF(M$1&gt;$Z$4,"-",IF(COUNTIF($D$3:$D268,M$2)=$Z$3,"Full",SUMIFS($C$3:$C268,$D$3:$D268,M$2)))</f>
        <v>-</v>
      </c>
      <c r="N268" s="2" t="str">
        <f>IF(N$1&gt;$Z$4,"-",IF(COUNTIF($D$3:$D268,N$2)=$Z$3,"Full",SUMIFS($C$3:$C268,$D$3:$D268,N$2)))</f>
        <v>-</v>
      </c>
      <c r="O268" s="2" t="str">
        <f>IF(O$1&gt;$Z$4,"-",IF(COUNTIF($D$3:$D268,O$2)=$Z$3,"Full",SUMIFS($C$3:$C268,$D$3:$D268,O$2)))</f>
        <v>-</v>
      </c>
      <c r="P268" s="2" t="str">
        <f>IF(P$1&gt;$Z$4,"-",IF(COUNTIF($D$3:$D268,P$2)=$Z$3,"Full",SUMIFS($C$3:$C268,$D$3:$D268,P$2)))</f>
        <v>-</v>
      </c>
      <c r="Q268" s="2" t="str">
        <f>IF(Q$1&gt;$Z$4,"-",IF(COUNTIF($D$3:$D268,Q$2)=$Z$3,"Full",SUMIFS($C$3:$C268,$D$3:$D268,Q$2)))</f>
        <v>-</v>
      </c>
      <c r="R268" s="2" t="str">
        <f>IF(R$1&gt;$Z$4,"-",IF(COUNTIF($D$3:$D268,R$2)=$Z$3,"Full",SUMIFS($C$3:$C268,$D$3:$D268,R$2)))</f>
        <v>-</v>
      </c>
      <c r="S268" s="2" t="str">
        <f>IF(S$1&gt;$Z$4,"-",IF(COUNTIF($D$3:$D268,S$2)=$Z$3,"Full",SUMIFS($C$3:$C268,$D$3:$D268,S$2)))</f>
        <v>-</v>
      </c>
      <c r="T268" s="11" t="str">
        <f>IF(T$1&gt;$Z$4,"-",IF(COUNTIF($D$3:$D268,T$2)=$Z$3,"Full",SUMIFS($C$3:$C268,$D$3:$D268,T$2)))</f>
        <v>-</v>
      </c>
    </row>
    <row r="269" spans="1:20" x14ac:dyDescent="0.25">
      <c r="A269" s="10" t="str">
        <f t="shared" si="157"/>
        <v/>
      </c>
      <c r="D269" s="2" t="str" cm="1">
        <f t="array" aca="1" ref="D269" ca="1">IFERROR(_xlfn.XLOOKUP(MIN(E268:INDIRECT($AA$4&amp;A269+1)),E268:INDIRECT($AA$4&amp;A269+1),$E$2:INDIRECT($AA$4&amp;"$2")),"-")</f>
        <v>-</v>
      </c>
      <c r="E269" s="2" t="str">
        <f ca="1">IF(E$1&gt;$Z$4,"-",IF(COUNTIF($D$3:$D269,E$2)=$Z$3,"Full",SUMIFS($C$3:$C269,$D$3:$D269,E$2)))</f>
        <v>Full</v>
      </c>
      <c r="F269" s="2" t="str">
        <f>IF(F$1&gt;$Z$4,"-",IF(COUNTIF($D$3:$D269,F$2)=$Z$3,"Full",SUMIFS($C$3:$C269,$D$3:$D269,F$2)))</f>
        <v>-</v>
      </c>
      <c r="G269" s="2" t="str">
        <f>IF(G$1&gt;$Z$4,"-",IF(COUNTIF($D$3:$D269,G$2)=$Z$3,"Full",SUMIFS($C$3:$C269,$D$3:$D269,G$2)))</f>
        <v>-</v>
      </c>
      <c r="H269" s="2" t="str">
        <f>IF(H$1&gt;$Z$4,"-",IF(COUNTIF($D$3:$D269,H$2)=$Z$3,"Full",SUMIFS($C$3:$C269,$D$3:$D269,H$2)))</f>
        <v>-</v>
      </c>
      <c r="I269" s="2" t="str">
        <f>IF(I$1&gt;$Z$4,"-",IF(COUNTIF($D$3:$D269,I$2)=$Z$3,"Full",SUMIFS($C$3:$C269,$D$3:$D269,I$2)))</f>
        <v>-</v>
      </c>
      <c r="J269" s="2" t="str">
        <f>IF(J$1&gt;$Z$4,"-",IF(COUNTIF($D$3:$D269,J$2)=$Z$3,"Full",SUMIFS($C$3:$C269,$D$3:$D269,J$2)))</f>
        <v>-</v>
      </c>
      <c r="K269" s="2" t="str">
        <f>IF(K$1&gt;$Z$4,"-",IF(COUNTIF($D$3:$D269,K$2)=$Z$3,"Full",SUMIFS($C$3:$C269,$D$3:$D269,K$2)))</f>
        <v>-</v>
      </c>
      <c r="L269" s="2" t="str">
        <f>IF(L$1&gt;$Z$4,"-",IF(COUNTIF($D$3:$D269,L$2)=$Z$3,"Full",SUMIFS($C$3:$C269,$D$3:$D269,L$2)))</f>
        <v>-</v>
      </c>
      <c r="M269" s="2" t="str">
        <f>IF(M$1&gt;$Z$4,"-",IF(COUNTIF($D$3:$D269,M$2)=$Z$3,"Full",SUMIFS($C$3:$C269,$D$3:$D269,M$2)))</f>
        <v>-</v>
      </c>
      <c r="N269" s="2" t="str">
        <f>IF(N$1&gt;$Z$4,"-",IF(COUNTIF($D$3:$D269,N$2)=$Z$3,"Full",SUMIFS($C$3:$C269,$D$3:$D269,N$2)))</f>
        <v>-</v>
      </c>
      <c r="O269" s="2" t="str">
        <f>IF(O$1&gt;$Z$4,"-",IF(COUNTIF($D$3:$D269,O$2)=$Z$3,"Full",SUMIFS($C$3:$C269,$D$3:$D269,O$2)))</f>
        <v>-</v>
      </c>
      <c r="P269" s="2" t="str">
        <f>IF(P$1&gt;$Z$4,"-",IF(COUNTIF($D$3:$D269,P$2)=$Z$3,"Full",SUMIFS($C$3:$C269,$D$3:$D269,P$2)))</f>
        <v>-</v>
      </c>
      <c r="Q269" s="2" t="str">
        <f>IF(Q$1&gt;$Z$4,"-",IF(COUNTIF($D$3:$D269,Q$2)=$Z$3,"Full",SUMIFS($C$3:$C269,$D$3:$D269,Q$2)))</f>
        <v>-</v>
      </c>
      <c r="R269" s="2" t="str">
        <f>IF(R$1&gt;$Z$4,"-",IF(COUNTIF($D$3:$D269,R$2)=$Z$3,"Full",SUMIFS($C$3:$C269,$D$3:$D269,R$2)))</f>
        <v>-</v>
      </c>
      <c r="S269" s="2" t="str">
        <f>IF(S$1&gt;$Z$4,"-",IF(COUNTIF($D$3:$D269,S$2)=$Z$3,"Full",SUMIFS($C$3:$C269,$D$3:$D269,S$2)))</f>
        <v>-</v>
      </c>
      <c r="T269" s="11" t="str">
        <f>IF(T$1&gt;$Z$4,"-",IF(COUNTIF($D$3:$D269,T$2)=$Z$3,"Full",SUMIFS($C$3:$C269,$D$3:$D269,T$2)))</f>
        <v>-</v>
      </c>
    </row>
    <row r="270" spans="1:20" x14ac:dyDescent="0.25">
      <c r="A270" s="10" t="str">
        <f t="shared" si="157"/>
        <v/>
      </c>
      <c r="D270" s="2" t="str" cm="1">
        <f t="array" aca="1" ref="D270" ca="1">IFERROR(_xlfn.XLOOKUP(MIN(E269:INDIRECT($AA$4&amp;A270+1)),E269:INDIRECT($AA$4&amp;A270+1),$E$2:INDIRECT($AA$4&amp;"$2")),"-")</f>
        <v>-</v>
      </c>
      <c r="E270" s="2" t="str">
        <f ca="1">IF(E$1&gt;$Z$4,"-",IF(COUNTIF($D$3:$D270,E$2)=$Z$3,"Full",SUMIFS($C$3:$C270,$D$3:$D270,E$2)))</f>
        <v>Full</v>
      </c>
      <c r="F270" s="2" t="str">
        <f>IF(F$1&gt;$Z$4,"-",IF(COUNTIF($D$3:$D270,F$2)=$Z$3,"Full",SUMIFS($C$3:$C270,$D$3:$D270,F$2)))</f>
        <v>-</v>
      </c>
      <c r="G270" s="2" t="str">
        <f>IF(G$1&gt;$Z$4,"-",IF(COUNTIF($D$3:$D270,G$2)=$Z$3,"Full",SUMIFS($C$3:$C270,$D$3:$D270,G$2)))</f>
        <v>-</v>
      </c>
      <c r="H270" s="2" t="str">
        <f>IF(H$1&gt;$Z$4,"-",IF(COUNTIF($D$3:$D270,H$2)=$Z$3,"Full",SUMIFS($C$3:$C270,$D$3:$D270,H$2)))</f>
        <v>-</v>
      </c>
      <c r="I270" s="2" t="str">
        <f>IF(I$1&gt;$Z$4,"-",IF(COUNTIF($D$3:$D270,I$2)=$Z$3,"Full",SUMIFS($C$3:$C270,$D$3:$D270,I$2)))</f>
        <v>-</v>
      </c>
      <c r="J270" s="2" t="str">
        <f>IF(J$1&gt;$Z$4,"-",IF(COUNTIF($D$3:$D270,J$2)=$Z$3,"Full",SUMIFS($C$3:$C270,$D$3:$D270,J$2)))</f>
        <v>-</v>
      </c>
      <c r="K270" s="2" t="str">
        <f>IF(K$1&gt;$Z$4,"-",IF(COUNTIF($D$3:$D270,K$2)=$Z$3,"Full",SUMIFS($C$3:$C270,$D$3:$D270,K$2)))</f>
        <v>-</v>
      </c>
      <c r="L270" s="2" t="str">
        <f>IF(L$1&gt;$Z$4,"-",IF(COUNTIF($D$3:$D270,L$2)=$Z$3,"Full",SUMIFS($C$3:$C270,$D$3:$D270,L$2)))</f>
        <v>-</v>
      </c>
      <c r="M270" s="2" t="str">
        <f>IF(M$1&gt;$Z$4,"-",IF(COUNTIF($D$3:$D270,M$2)=$Z$3,"Full",SUMIFS($C$3:$C270,$D$3:$D270,M$2)))</f>
        <v>-</v>
      </c>
      <c r="N270" s="2" t="str">
        <f>IF(N$1&gt;$Z$4,"-",IF(COUNTIF($D$3:$D270,N$2)=$Z$3,"Full",SUMIFS($C$3:$C270,$D$3:$D270,N$2)))</f>
        <v>-</v>
      </c>
      <c r="O270" s="2" t="str">
        <f>IF(O$1&gt;$Z$4,"-",IF(COUNTIF($D$3:$D270,O$2)=$Z$3,"Full",SUMIFS($C$3:$C270,$D$3:$D270,O$2)))</f>
        <v>-</v>
      </c>
      <c r="P270" s="2" t="str">
        <f>IF(P$1&gt;$Z$4,"-",IF(COUNTIF($D$3:$D270,P$2)=$Z$3,"Full",SUMIFS($C$3:$C270,$D$3:$D270,P$2)))</f>
        <v>-</v>
      </c>
      <c r="Q270" s="2" t="str">
        <f>IF(Q$1&gt;$Z$4,"-",IF(COUNTIF($D$3:$D270,Q$2)=$Z$3,"Full",SUMIFS($C$3:$C270,$D$3:$D270,Q$2)))</f>
        <v>-</v>
      </c>
      <c r="R270" s="2" t="str">
        <f>IF(R$1&gt;$Z$4,"-",IF(COUNTIF($D$3:$D270,R$2)=$Z$3,"Full",SUMIFS($C$3:$C270,$D$3:$D270,R$2)))</f>
        <v>-</v>
      </c>
      <c r="S270" s="2" t="str">
        <f>IF(S$1&gt;$Z$4,"-",IF(COUNTIF($D$3:$D270,S$2)=$Z$3,"Full",SUMIFS($C$3:$C270,$D$3:$D270,S$2)))</f>
        <v>-</v>
      </c>
      <c r="T270" s="11" t="str">
        <f>IF(T$1&gt;$Z$4,"-",IF(COUNTIF($D$3:$D270,T$2)=$Z$3,"Full",SUMIFS($C$3:$C270,$D$3:$D270,T$2)))</f>
        <v>-</v>
      </c>
    </row>
    <row r="271" spans="1:20" x14ac:dyDescent="0.25">
      <c r="A271" s="10" t="str">
        <f t="shared" si="157"/>
        <v/>
      </c>
      <c r="D271" s="2" t="str" cm="1">
        <f t="array" aca="1" ref="D271" ca="1">IFERROR(_xlfn.XLOOKUP(MIN(E270:INDIRECT($AA$4&amp;A271+1)),E270:INDIRECT($AA$4&amp;A271+1),$E$2:INDIRECT($AA$4&amp;"$2")),"-")</f>
        <v>-</v>
      </c>
      <c r="E271" s="2" t="str">
        <f ca="1">IF(E$1&gt;$Z$4,"-",IF(COUNTIF($D$3:$D271,E$2)=$Z$3,"Full",SUMIFS($C$3:$C271,$D$3:$D271,E$2)))</f>
        <v>Full</v>
      </c>
      <c r="F271" s="2" t="str">
        <f>IF(F$1&gt;$Z$4,"-",IF(COUNTIF($D$3:$D271,F$2)=$Z$3,"Full",SUMIFS($C$3:$C271,$D$3:$D271,F$2)))</f>
        <v>-</v>
      </c>
      <c r="G271" s="2" t="str">
        <f>IF(G$1&gt;$Z$4,"-",IF(COUNTIF($D$3:$D271,G$2)=$Z$3,"Full",SUMIFS($C$3:$C271,$D$3:$D271,G$2)))</f>
        <v>-</v>
      </c>
      <c r="H271" s="2" t="str">
        <f>IF(H$1&gt;$Z$4,"-",IF(COUNTIF($D$3:$D271,H$2)=$Z$3,"Full",SUMIFS($C$3:$C271,$D$3:$D271,H$2)))</f>
        <v>-</v>
      </c>
      <c r="I271" s="2" t="str">
        <f>IF(I$1&gt;$Z$4,"-",IF(COUNTIF($D$3:$D271,I$2)=$Z$3,"Full",SUMIFS($C$3:$C271,$D$3:$D271,I$2)))</f>
        <v>-</v>
      </c>
      <c r="J271" s="2" t="str">
        <f>IF(J$1&gt;$Z$4,"-",IF(COUNTIF($D$3:$D271,J$2)=$Z$3,"Full",SUMIFS($C$3:$C271,$D$3:$D271,J$2)))</f>
        <v>-</v>
      </c>
      <c r="K271" s="2" t="str">
        <f>IF(K$1&gt;$Z$4,"-",IF(COUNTIF($D$3:$D271,K$2)=$Z$3,"Full",SUMIFS($C$3:$C271,$D$3:$D271,K$2)))</f>
        <v>-</v>
      </c>
      <c r="L271" s="2" t="str">
        <f>IF(L$1&gt;$Z$4,"-",IF(COUNTIF($D$3:$D271,L$2)=$Z$3,"Full",SUMIFS($C$3:$C271,$D$3:$D271,L$2)))</f>
        <v>-</v>
      </c>
      <c r="M271" s="2" t="str">
        <f>IF(M$1&gt;$Z$4,"-",IF(COUNTIF($D$3:$D271,M$2)=$Z$3,"Full",SUMIFS($C$3:$C271,$D$3:$D271,M$2)))</f>
        <v>-</v>
      </c>
      <c r="N271" s="2" t="str">
        <f>IF(N$1&gt;$Z$4,"-",IF(COUNTIF($D$3:$D271,N$2)=$Z$3,"Full",SUMIFS($C$3:$C271,$D$3:$D271,N$2)))</f>
        <v>-</v>
      </c>
      <c r="O271" s="2" t="str">
        <f>IF(O$1&gt;$Z$4,"-",IF(COUNTIF($D$3:$D271,O$2)=$Z$3,"Full",SUMIFS($C$3:$C271,$D$3:$D271,O$2)))</f>
        <v>-</v>
      </c>
      <c r="P271" s="2" t="str">
        <f>IF(P$1&gt;$Z$4,"-",IF(COUNTIF($D$3:$D271,P$2)=$Z$3,"Full",SUMIFS($C$3:$C271,$D$3:$D271,P$2)))</f>
        <v>-</v>
      </c>
      <c r="Q271" s="2" t="str">
        <f>IF(Q$1&gt;$Z$4,"-",IF(COUNTIF($D$3:$D271,Q$2)=$Z$3,"Full",SUMIFS($C$3:$C271,$D$3:$D271,Q$2)))</f>
        <v>-</v>
      </c>
      <c r="R271" s="2" t="str">
        <f>IF(R$1&gt;$Z$4,"-",IF(COUNTIF($D$3:$D271,R$2)=$Z$3,"Full",SUMIFS($C$3:$C271,$D$3:$D271,R$2)))</f>
        <v>-</v>
      </c>
      <c r="S271" s="2" t="str">
        <f>IF(S$1&gt;$Z$4,"-",IF(COUNTIF($D$3:$D271,S$2)=$Z$3,"Full",SUMIFS($C$3:$C271,$D$3:$D271,S$2)))</f>
        <v>-</v>
      </c>
      <c r="T271" s="11" t="str">
        <f>IF(T$1&gt;$Z$4,"-",IF(COUNTIF($D$3:$D271,T$2)=$Z$3,"Full",SUMIFS($C$3:$C271,$D$3:$D271,T$2)))</f>
        <v>-</v>
      </c>
    </row>
    <row r="272" spans="1:20" x14ac:dyDescent="0.25">
      <c r="A272" s="10" t="str">
        <f t="shared" si="157"/>
        <v/>
      </c>
      <c r="D272" s="2" t="str" cm="1">
        <f t="array" aca="1" ref="D272" ca="1">IFERROR(_xlfn.XLOOKUP(MIN(E271:INDIRECT($AA$4&amp;A272+1)),E271:INDIRECT($AA$4&amp;A272+1),$E$2:INDIRECT($AA$4&amp;"$2")),"-")</f>
        <v>-</v>
      </c>
      <c r="E272" s="2" t="str">
        <f ca="1">IF(E$1&gt;$Z$4,"-",IF(COUNTIF($D$3:$D272,E$2)=$Z$3,"Full",SUMIFS($C$3:$C272,$D$3:$D272,E$2)))</f>
        <v>Full</v>
      </c>
      <c r="F272" s="2" t="str">
        <f>IF(F$1&gt;$Z$4,"-",IF(COUNTIF($D$3:$D272,F$2)=$Z$3,"Full",SUMIFS($C$3:$C272,$D$3:$D272,F$2)))</f>
        <v>-</v>
      </c>
      <c r="G272" s="2" t="str">
        <f>IF(G$1&gt;$Z$4,"-",IF(COUNTIF($D$3:$D272,G$2)=$Z$3,"Full",SUMIFS($C$3:$C272,$D$3:$D272,G$2)))</f>
        <v>-</v>
      </c>
      <c r="H272" s="2" t="str">
        <f>IF(H$1&gt;$Z$4,"-",IF(COUNTIF($D$3:$D272,H$2)=$Z$3,"Full",SUMIFS($C$3:$C272,$D$3:$D272,H$2)))</f>
        <v>-</v>
      </c>
      <c r="I272" s="2" t="str">
        <f>IF(I$1&gt;$Z$4,"-",IF(COUNTIF($D$3:$D272,I$2)=$Z$3,"Full",SUMIFS($C$3:$C272,$D$3:$D272,I$2)))</f>
        <v>-</v>
      </c>
      <c r="J272" s="2" t="str">
        <f>IF(J$1&gt;$Z$4,"-",IF(COUNTIF($D$3:$D272,J$2)=$Z$3,"Full",SUMIFS($C$3:$C272,$D$3:$D272,J$2)))</f>
        <v>-</v>
      </c>
      <c r="K272" s="2" t="str">
        <f>IF(K$1&gt;$Z$4,"-",IF(COUNTIF($D$3:$D272,K$2)=$Z$3,"Full",SUMIFS($C$3:$C272,$D$3:$D272,K$2)))</f>
        <v>-</v>
      </c>
      <c r="L272" s="2" t="str">
        <f>IF(L$1&gt;$Z$4,"-",IF(COUNTIF($D$3:$D272,L$2)=$Z$3,"Full",SUMIFS($C$3:$C272,$D$3:$D272,L$2)))</f>
        <v>-</v>
      </c>
      <c r="M272" s="2" t="str">
        <f>IF(M$1&gt;$Z$4,"-",IF(COUNTIF($D$3:$D272,M$2)=$Z$3,"Full",SUMIFS($C$3:$C272,$D$3:$D272,M$2)))</f>
        <v>-</v>
      </c>
      <c r="N272" s="2" t="str">
        <f>IF(N$1&gt;$Z$4,"-",IF(COUNTIF($D$3:$D272,N$2)=$Z$3,"Full",SUMIFS($C$3:$C272,$D$3:$D272,N$2)))</f>
        <v>-</v>
      </c>
      <c r="O272" s="2" t="str">
        <f>IF(O$1&gt;$Z$4,"-",IF(COUNTIF($D$3:$D272,O$2)=$Z$3,"Full",SUMIFS($C$3:$C272,$D$3:$D272,O$2)))</f>
        <v>-</v>
      </c>
      <c r="P272" s="2" t="str">
        <f>IF(P$1&gt;$Z$4,"-",IF(COUNTIF($D$3:$D272,P$2)=$Z$3,"Full",SUMIFS($C$3:$C272,$D$3:$D272,P$2)))</f>
        <v>-</v>
      </c>
      <c r="Q272" s="2" t="str">
        <f>IF(Q$1&gt;$Z$4,"-",IF(COUNTIF($D$3:$D272,Q$2)=$Z$3,"Full",SUMIFS($C$3:$C272,$D$3:$D272,Q$2)))</f>
        <v>-</v>
      </c>
      <c r="R272" s="2" t="str">
        <f>IF(R$1&gt;$Z$4,"-",IF(COUNTIF($D$3:$D272,R$2)=$Z$3,"Full",SUMIFS($C$3:$C272,$D$3:$D272,R$2)))</f>
        <v>-</v>
      </c>
      <c r="S272" s="2" t="str">
        <f>IF(S$1&gt;$Z$4,"-",IF(COUNTIF($D$3:$D272,S$2)=$Z$3,"Full",SUMIFS($C$3:$C272,$D$3:$D272,S$2)))</f>
        <v>-</v>
      </c>
      <c r="T272" s="11" t="str">
        <f>IF(T$1&gt;$Z$4,"-",IF(COUNTIF($D$3:$D272,T$2)=$Z$3,"Full",SUMIFS($C$3:$C272,$D$3:$D272,T$2)))</f>
        <v>-</v>
      </c>
    </row>
    <row r="273" spans="1:20" x14ac:dyDescent="0.25">
      <c r="A273" s="10" t="str">
        <f t="shared" si="157"/>
        <v/>
      </c>
      <c r="D273" s="2" t="str" cm="1">
        <f t="array" aca="1" ref="D273" ca="1">IFERROR(_xlfn.XLOOKUP(MIN(E272:INDIRECT($AA$4&amp;A273+1)),E272:INDIRECT($AA$4&amp;A273+1),$E$2:INDIRECT($AA$4&amp;"$2")),"-")</f>
        <v>-</v>
      </c>
      <c r="E273" s="2" t="str">
        <f ca="1">IF(E$1&gt;$Z$4,"-",IF(COUNTIF($D$3:$D273,E$2)=$Z$3,"Full",SUMIFS($C$3:$C273,$D$3:$D273,E$2)))</f>
        <v>Full</v>
      </c>
      <c r="F273" s="2" t="str">
        <f>IF(F$1&gt;$Z$4,"-",IF(COUNTIF($D$3:$D273,F$2)=$Z$3,"Full",SUMIFS($C$3:$C273,$D$3:$D273,F$2)))</f>
        <v>-</v>
      </c>
      <c r="G273" s="2" t="str">
        <f>IF(G$1&gt;$Z$4,"-",IF(COUNTIF($D$3:$D273,G$2)=$Z$3,"Full",SUMIFS($C$3:$C273,$D$3:$D273,G$2)))</f>
        <v>-</v>
      </c>
      <c r="H273" s="2" t="str">
        <f>IF(H$1&gt;$Z$4,"-",IF(COUNTIF($D$3:$D273,H$2)=$Z$3,"Full",SUMIFS($C$3:$C273,$D$3:$D273,H$2)))</f>
        <v>-</v>
      </c>
      <c r="I273" s="2" t="str">
        <f>IF(I$1&gt;$Z$4,"-",IF(COUNTIF($D$3:$D273,I$2)=$Z$3,"Full",SUMIFS($C$3:$C273,$D$3:$D273,I$2)))</f>
        <v>-</v>
      </c>
      <c r="J273" s="2" t="str">
        <f>IF(J$1&gt;$Z$4,"-",IF(COUNTIF($D$3:$D273,J$2)=$Z$3,"Full",SUMIFS($C$3:$C273,$D$3:$D273,J$2)))</f>
        <v>-</v>
      </c>
      <c r="K273" s="2" t="str">
        <f>IF(K$1&gt;$Z$4,"-",IF(COUNTIF($D$3:$D273,K$2)=$Z$3,"Full",SUMIFS($C$3:$C273,$D$3:$D273,K$2)))</f>
        <v>-</v>
      </c>
      <c r="L273" s="2" t="str">
        <f>IF(L$1&gt;$Z$4,"-",IF(COUNTIF($D$3:$D273,L$2)=$Z$3,"Full",SUMIFS($C$3:$C273,$D$3:$D273,L$2)))</f>
        <v>-</v>
      </c>
      <c r="M273" s="2" t="str">
        <f>IF(M$1&gt;$Z$4,"-",IF(COUNTIF($D$3:$D273,M$2)=$Z$3,"Full",SUMIFS($C$3:$C273,$D$3:$D273,M$2)))</f>
        <v>-</v>
      </c>
      <c r="N273" s="2" t="str">
        <f>IF(N$1&gt;$Z$4,"-",IF(COUNTIF($D$3:$D273,N$2)=$Z$3,"Full",SUMIFS($C$3:$C273,$D$3:$D273,N$2)))</f>
        <v>-</v>
      </c>
      <c r="O273" s="2" t="str">
        <f>IF(O$1&gt;$Z$4,"-",IF(COUNTIF($D$3:$D273,O$2)=$Z$3,"Full",SUMIFS($C$3:$C273,$D$3:$D273,O$2)))</f>
        <v>-</v>
      </c>
      <c r="P273" s="2" t="str">
        <f>IF(P$1&gt;$Z$4,"-",IF(COUNTIF($D$3:$D273,P$2)=$Z$3,"Full",SUMIFS($C$3:$C273,$D$3:$D273,P$2)))</f>
        <v>-</v>
      </c>
      <c r="Q273" s="2" t="str">
        <f>IF(Q$1&gt;$Z$4,"-",IF(COUNTIF($D$3:$D273,Q$2)=$Z$3,"Full",SUMIFS($C$3:$C273,$D$3:$D273,Q$2)))</f>
        <v>-</v>
      </c>
      <c r="R273" s="2" t="str">
        <f>IF(R$1&gt;$Z$4,"-",IF(COUNTIF($D$3:$D273,R$2)=$Z$3,"Full",SUMIFS($C$3:$C273,$D$3:$D273,R$2)))</f>
        <v>-</v>
      </c>
      <c r="S273" s="2" t="str">
        <f>IF(S$1&gt;$Z$4,"-",IF(COUNTIF($D$3:$D273,S$2)=$Z$3,"Full",SUMIFS($C$3:$C273,$D$3:$D273,S$2)))</f>
        <v>-</v>
      </c>
      <c r="T273" s="11" t="str">
        <f>IF(T$1&gt;$Z$4,"-",IF(COUNTIF($D$3:$D273,T$2)=$Z$3,"Full",SUMIFS($C$3:$C273,$D$3:$D273,T$2)))</f>
        <v>-</v>
      </c>
    </row>
    <row r="274" spans="1:20" ht="15.75" thickBot="1" x14ac:dyDescent="0.3">
      <c r="A274" s="12" t="str">
        <f t="shared" si="157"/>
        <v/>
      </c>
      <c r="B274" s="8"/>
      <c r="C274" s="8"/>
      <c r="D274" s="8" t="str" cm="1">
        <f t="array" aca="1" ref="D274" ca="1">IFERROR(_xlfn.XLOOKUP(MIN(E273:INDIRECT($AA$4&amp;A274+1)),E273:INDIRECT($AA$4&amp;A274+1),$E$2:INDIRECT($AA$4&amp;"$2")),"-")</f>
        <v>-</v>
      </c>
      <c r="E274" s="8" t="str">
        <f ca="1">IF(E$1&gt;$Z$4,"-",IF(COUNTIF($D$3:$D274,E$2)=$Z$3,"Full",SUMIFS($C$3:$C274,$D$3:$D274,E$2)))</f>
        <v>Full</v>
      </c>
      <c r="F274" s="8" t="str">
        <f>IF(F$1&gt;$Z$4,"-",IF(COUNTIF($D$3:$D274,F$2)=$Z$3,"Full",SUMIFS($C$3:$C274,$D$3:$D274,F$2)))</f>
        <v>-</v>
      </c>
      <c r="G274" s="8" t="str">
        <f>IF(G$1&gt;$Z$4,"-",IF(COUNTIF($D$3:$D274,G$2)=$Z$3,"Full",SUMIFS($C$3:$C274,$D$3:$D274,G$2)))</f>
        <v>-</v>
      </c>
      <c r="H274" s="8" t="str">
        <f>IF(H$1&gt;$Z$4,"-",IF(COUNTIF($D$3:$D274,H$2)=$Z$3,"Full",SUMIFS($C$3:$C274,$D$3:$D274,H$2)))</f>
        <v>-</v>
      </c>
      <c r="I274" s="8" t="str">
        <f>IF(I$1&gt;$Z$4,"-",IF(COUNTIF($D$3:$D274,I$2)=$Z$3,"Full",SUMIFS($C$3:$C274,$D$3:$D274,I$2)))</f>
        <v>-</v>
      </c>
      <c r="J274" s="8" t="str">
        <f>IF(J$1&gt;$Z$4,"-",IF(COUNTIF($D$3:$D274,J$2)=$Z$3,"Full",SUMIFS($C$3:$C274,$D$3:$D274,J$2)))</f>
        <v>-</v>
      </c>
      <c r="K274" s="8" t="str">
        <f>IF(K$1&gt;$Z$4,"-",IF(COUNTIF($D$3:$D274,K$2)=$Z$3,"Full",SUMIFS($C$3:$C274,$D$3:$D274,K$2)))</f>
        <v>-</v>
      </c>
      <c r="L274" s="8" t="str">
        <f>IF(L$1&gt;$Z$4,"-",IF(COUNTIF($D$3:$D274,L$2)=$Z$3,"Full",SUMIFS($C$3:$C274,$D$3:$D274,L$2)))</f>
        <v>-</v>
      </c>
      <c r="M274" s="8" t="str">
        <f>IF(M$1&gt;$Z$4,"-",IF(COUNTIF($D$3:$D274,M$2)=$Z$3,"Full",SUMIFS($C$3:$C274,$D$3:$D274,M$2)))</f>
        <v>-</v>
      </c>
      <c r="N274" s="8" t="str">
        <f>IF(N$1&gt;$Z$4,"-",IF(COUNTIF($D$3:$D274,N$2)=$Z$3,"Full",SUMIFS($C$3:$C274,$D$3:$D274,N$2)))</f>
        <v>-</v>
      </c>
      <c r="O274" s="8" t="str">
        <f>IF(O$1&gt;$Z$4,"-",IF(COUNTIF($D$3:$D274,O$2)=$Z$3,"Full",SUMIFS($C$3:$C274,$D$3:$D274,O$2)))</f>
        <v>-</v>
      </c>
      <c r="P274" s="8" t="str">
        <f>IF(P$1&gt;$Z$4,"-",IF(COUNTIF($D$3:$D274,P$2)=$Z$3,"Full",SUMIFS($C$3:$C274,$D$3:$D274,P$2)))</f>
        <v>-</v>
      </c>
      <c r="Q274" s="8" t="str">
        <f>IF(Q$1&gt;$Z$4,"-",IF(COUNTIF($D$3:$D274,Q$2)=$Z$3,"Full",SUMIFS($C$3:$C274,$D$3:$D274,Q$2)))</f>
        <v>-</v>
      </c>
      <c r="R274" s="8" t="str">
        <f>IF(R$1&gt;$Z$4,"-",IF(COUNTIF($D$3:$D274,R$2)=$Z$3,"Full",SUMIFS($C$3:$C274,$D$3:$D274,R$2)))</f>
        <v>-</v>
      </c>
      <c r="S274" s="8" t="str">
        <f>IF(S$1&gt;$Z$4,"-",IF(COUNTIF($D$3:$D274,S$2)=$Z$3,"Full",SUMIFS($C$3:$C274,$D$3:$D274,S$2)))</f>
        <v>-</v>
      </c>
      <c r="T274" s="9" t="str">
        <f>IF(T$1&gt;$Z$4,"-",IF(COUNTIF($D$3:$D274,T$2)=$Z$3,"Full",SUMIFS($C$3:$C274,$D$3:$D274,T$2)))</f>
        <v>-</v>
      </c>
    </row>
  </sheetData>
  <sortState xmlns:xlrd2="http://schemas.microsoft.com/office/spreadsheetml/2017/richdata2" ref="C3:C17">
    <sortCondition ref="C3:C17"/>
  </sortState>
  <mergeCells count="16">
    <mergeCell ref="AW23:AX23"/>
    <mergeCell ref="AY23:AZ23"/>
    <mergeCell ref="BA23:BB23"/>
    <mergeCell ref="BC23:BD23"/>
    <mergeCell ref="AK23:AL23"/>
    <mergeCell ref="AM23:AN23"/>
    <mergeCell ref="AO23:AP23"/>
    <mergeCell ref="AQ23:AR23"/>
    <mergeCell ref="AS23:AT23"/>
    <mergeCell ref="AU23:AV23"/>
    <mergeCell ref="AI23:AJ23"/>
    <mergeCell ref="Y23:Z23"/>
    <mergeCell ref="AA23:AB23"/>
    <mergeCell ref="AC23:AD23"/>
    <mergeCell ref="AE23:AF23"/>
    <mergeCell ref="AG23:AH23"/>
  </mergeCells>
  <phoneticPr fontId="2" type="noConversion"/>
  <conditionalFormatting sqref="E3:T3">
    <cfRule type="cellIs" dxfId="23" priority="8" operator="greaterThan">
      <formula>0</formula>
    </cfRule>
  </conditionalFormatting>
  <conditionalFormatting sqref="E3:T91">
    <cfRule type="cellIs" dxfId="22" priority="7" operator="equal">
      <formula>"-"</formula>
    </cfRule>
  </conditionalFormatting>
  <conditionalFormatting sqref="E4:T91">
    <cfRule type="cellIs" dxfId="21" priority="6" operator="greaterThan">
      <formula>E3</formula>
    </cfRule>
  </conditionalFormatting>
  <conditionalFormatting sqref="Z24:Z33 AB24:AB33 AD24:AD33 AF24:AF33 AH24:AH33 AJ24:AJ33 AL24:AL33 AN24:AN33 AP24:AP33 AR24:AR33 AT24:AT33 AV24:AV33 AX24:AX33 AZ24:AZ33 BB24:BB33 BD24:BD33">
    <cfRule type="cellIs" dxfId="20" priority="1" operator="equal">
      <formula>$AC$70</formula>
    </cfRule>
    <cfRule type="expression" dxfId="19" priority="4">
      <formula>AND(Z$35=$Z$59,Z24=$Z$63)</formula>
    </cfRule>
    <cfRule type="expression" dxfId="18" priority="5">
      <formula>AND(Z$35=$Z$58,Z24=$Z$64)</formula>
    </cfRule>
  </conditionalFormatting>
  <dataValidations count="2">
    <dataValidation type="whole" allowBlank="1" showInputMessage="1" showErrorMessage="1" sqref="Z3" xr:uid="{E151E5F5-7BF0-4013-9E9B-A87791D78F08}">
      <formula1>1</formula1>
      <formula2>10</formula2>
    </dataValidation>
    <dataValidation type="whole" allowBlank="1" showInputMessage="1" showErrorMessage="1" sqref="Z4" xr:uid="{1A94C317-6783-48B5-B415-953CE7B67238}">
      <formula1>1</formula1>
      <formula2>16</formula2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CF1AB-2F8F-456F-8073-F6222F1B929F}">
  <sheetPr codeName="Sheet4"/>
  <dimension ref="B2:H100"/>
  <sheetViews>
    <sheetView tabSelected="1" workbookViewId="0">
      <selection activeCell="E11" sqref="E11"/>
    </sheetView>
  </sheetViews>
  <sheetFormatPr defaultRowHeight="15" x14ac:dyDescent="0.25"/>
  <cols>
    <col min="2" max="2" width="20.140625" customWidth="1"/>
    <col min="3" max="3" width="13.7109375" customWidth="1"/>
    <col min="4" max="4" width="32.85546875" customWidth="1"/>
    <col min="7" max="7" width="18" customWidth="1"/>
    <col min="8" max="8" width="6.140625" customWidth="1"/>
    <col min="9" max="9" width="18" customWidth="1"/>
    <col min="10" max="10" width="6.140625" customWidth="1"/>
    <col min="11" max="11" width="18" customWidth="1"/>
    <col min="12" max="12" width="6.140625" customWidth="1"/>
    <col min="13" max="13" width="18" customWidth="1"/>
    <col min="14" max="14" width="6.140625" customWidth="1"/>
    <col min="15" max="15" width="18" customWidth="1"/>
    <col min="16" max="16" width="6.140625" customWidth="1"/>
    <col min="17" max="17" width="18" customWidth="1"/>
    <col min="18" max="18" width="6.140625" customWidth="1"/>
    <col min="19" max="19" width="18" customWidth="1"/>
    <col min="20" max="20" width="6.140625" customWidth="1"/>
    <col min="21" max="21" width="18" customWidth="1"/>
    <col min="22" max="22" width="6.140625" customWidth="1"/>
    <col min="23" max="23" width="18" customWidth="1"/>
    <col min="24" max="24" width="6.140625" customWidth="1"/>
    <col min="25" max="25" width="18" customWidth="1"/>
    <col min="26" max="26" width="6.140625" customWidth="1"/>
    <col min="27" max="27" width="18" customWidth="1"/>
    <col min="28" max="28" width="6.140625" customWidth="1"/>
    <col min="29" max="29" width="18" customWidth="1"/>
    <col min="30" max="30" width="6.140625" customWidth="1"/>
    <col min="31" max="31" width="18" customWidth="1"/>
    <col min="32" max="32" width="6.140625" customWidth="1"/>
    <col min="33" max="33" width="18" customWidth="1"/>
    <col min="34" max="34" width="6.140625" customWidth="1"/>
    <col min="35" max="35" width="18" customWidth="1"/>
    <col min="36" max="36" width="6.140625" customWidth="1"/>
    <col min="37" max="37" width="18" customWidth="1"/>
    <col min="38" max="38" width="6.140625" customWidth="1"/>
  </cols>
  <sheetData>
    <row r="2" spans="2:8" ht="15.75" thickBot="1" x14ac:dyDescent="0.3">
      <c r="C2" s="1" t="s">
        <v>136</v>
      </c>
      <c r="D2" s="1" t="s">
        <v>137</v>
      </c>
    </row>
    <row r="3" spans="2:8" ht="15.75" thickBot="1" x14ac:dyDescent="0.3">
      <c r="B3" s="1" t="s">
        <v>93</v>
      </c>
      <c r="C3" s="16">
        <v>1</v>
      </c>
      <c r="D3" s="2" t="s">
        <v>139</v>
      </c>
      <c r="G3" s="38" t="s">
        <v>142</v>
      </c>
      <c r="H3" s="39"/>
    </row>
    <row r="4" spans="2:8" x14ac:dyDescent="0.25">
      <c r="B4" s="1" t="s">
        <v>92</v>
      </c>
      <c r="C4" s="16">
        <v>1</v>
      </c>
      <c r="D4" s="2" t="s">
        <v>138</v>
      </c>
      <c r="G4" s="19" t="s">
        <v>2</v>
      </c>
      <c r="H4" s="31">
        <f>IF(ISBLANK(G4),"-",_xlfn.XLOOKUP(G4,Logic!$B$3:$B$274,Logic!$C$3:$C$274,0))</f>
        <v>15.95</v>
      </c>
    </row>
    <row r="5" spans="2:8" x14ac:dyDescent="0.25">
      <c r="B5" s="1" t="s">
        <v>94</v>
      </c>
      <c r="C5" s="17">
        <f>C4*C3</f>
        <v>1</v>
      </c>
      <c r="D5" s="2" t="str">
        <f>_xlfn.CONCAT("Can't be more than country list (",MAX(Logic!A:A),")")</f>
        <v>Can't be more than country list (89)</v>
      </c>
      <c r="G5" s="21"/>
      <c r="H5" s="32" t="str">
        <f>IF(ISBLANK(G5),"-",_xlfn.XLOOKUP(G5,Logic!$B$3:$B$274,Logic!$C$3:$C$274,0))</f>
        <v>-</v>
      </c>
    </row>
    <row r="6" spans="2:8" x14ac:dyDescent="0.25">
      <c r="B6" s="1" t="s">
        <v>95</v>
      </c>
      <c r="C6" s="18">
        <f>Logic!Z6</f>
        <v>15.95</v>
      </c>
      <c r="G6" s="21"/>
      <c r="H6" s="32" t="str">
        <f>IF(ISBLANK(G6),"-",_xlfn.XLOOKUP(G6,Logic!$B$3:$B$274,Logic!$C$3:$C$274,0))</f>
        <v>-</v>
      </c>
    </row>
    <row r="7" spans="2:8" x14ac:dyDescent="0.25">
      <c r="B7" s="1" t="s">
        <v>141</v>
      </c>
      <c r="C7" s="18">
        <f>C6*C4</f>
        <v>15.95</v>
      </c>
      <c r="G7" s="21"/>
      <c r="H7" s="32" t="str">
        <f>IF(ISBLANK(G7),"-",_xlfn.XLOOKUP(G7,Logic!$B$3:$B$274,Logic!$C$3:$C$274,0))</f>
        <v>-</v>
      </c>
    </row>
    <row r="8" spans="2:8" x14ac:dyDescent="0.25">
      <c r="G8" s="21"/>
      <c r="H8" s="32" t="str">
        <f>IF(ISBLANK(G8),"-",_xlfn.XLOOKUP(G8,Logic!$B$3:$B$274,Logic!$C$3:$C$274,0))</f>
        <v>-</v>
      </c>
    </row>
    <row r="9" spans="2:8" x14ac:dyDescent="0.25">
      <c r="G9" s="21"/>
      <c r="H9" s="32" t="str">
        <f>IF(ISBLANK(G9),"-",_xlfn.XLOOKUP(G9,Logic!$B$3:$B$274,Logic!$C$3:$C$274,0))</f>
        <v>-</v>
      </c>
    </row>
    <row r="10" spans="2:8" x14ac:dyDescent="0.25">
      <c r="B10" s="40" t="s">
        <v>160</v>
      </c>
      <c r="C10" s="40"/>
      <c r="G10" s="21"/>
      <c r="H10" s="32" t="str">
        <f>IF(ISBLANK(G10),"-",_xlfn.XLOOKUP(G10,Logic!$B$3:$B$274,Logic!$C$3:$C$274,0))</f>
        <v>-</v>
      </c>
    </row>
    <row r="11" spans="2:8" x14ac:dyDescent="0.25">
      <c r="B11" s="37" t="s">
        <v>1</v>
      </c>
      <c r="C11" s="37" t="s">
        <v>159</v>
      </c>
      <c r="G11" s="21"/>
      <c r="H11" s="32" t="str">
        <f>IF(ISBLANK(G11),"-",_xlfn.XLOOKUP(G11,Logic!$B$3:$B$274,Logic!$C$3:$C$274,0))</f>
        <v>-</v>
      </c>
    </row>
    <row r="12" spans="2:8" x14ac:dyDescent="0.25">
      <c r="B12" s="36" t="s">
        <v>2</v>
      </c>
      <c r="C12" s="36">
        <v>15.95</v>
      </c>
      <c r="G12" s="21"/>
      <c r="H12" s="32" t="str">
        <f>IF(ISBLANK(G12),"-",_xlfn.XLOOKUP(G12,Logic!$B$3:$B$274,Logic!$C$3:$C$274,0))</f>
        <v>-</v>
      </c>
    </row>
    <row r="13" spans="2:8" ht="15.75" thickBot="1" x14ac:dyDescent="0.3">
      <c r="B13" s="36" t="s">
        <v>3</v>
      </c>
      <c r="C13" s="36">
        <v>15.89</v>
      </c>
      <c r="G13" s="23"/>
      <c r="H13" s="33" t="str">
        <f>IF(ISBLANK(G13),"-",_xlfn.XLOOKUP(G13,Logic!$B$3:$B$274,Logic!$C$3:$C$274,0))</f>
        <v>-</v>
      </c>
    </row>
    <row r="14" spans="2:8" ht="15.75" thickBot="1" x14ac:dyDescent="0.3">
      <c r="B14" s="36" t="s">
        <v>4</v>
      </c>
      <c r="C14" s="36">
        <v>13.5</v>
      </c>
      <c r="G14" s="2"/>
      <c r="H14" s="2"/>
    </row>
    <row r="15" spans="2:8" ht="15.75" thickBot="1" x14ac:dyDescent="0.3">
      <c r="B15" s="36" t="s">
        <v>5</v>
      </c>
      <c r="C15" s="36">
        <v>12.13</v>
      </c>
      <c r="G15" s="34" t="s">
        <v>158</v>
      </c>
      <c r="H15" s="35">
        <f>SUM(H4:H13)</f>
        <v>15.95</v>
      </c>
    </row>
    <row r="16" spans="2:8" x14ac:dyDescent="0.25">
      <c r="B16" s="36" t="s">
        <v>6</v>
      </c>
      <c r="C16" s="36">
        <v>10.99</v>
      </c>
    </row>
    <row r="17" spans="2:3" x14ac:dyDescent="0.25">
      <c r="B17" s="36" t="s">
        <v>7</v>
      </c>
      <c r="C17" s="36">
        <v>10.02</v>
      </c>
    </row>
    <row r="18" spans="2:3" x14ac:dyDescent="0.25">
      <c r="B18" s="36" t="s">
        <v>8</v>
      </c>
      <c r="C18" s="36">
        <v>8.01</v>
      </c>
    </row>
    <row r="19" spans="2:3" x14ac:dyDescent="0.25">
      <c r="B19" s="36" t="s">
        <v>9</v>
      </c>
      <c r="C19" s="36">
        <v>6.99</v>
      </c>
    </row>
    <row r="20" spans="2:3" x14ac:dyDescent="0.25">
      <c r="B20" s="36" t="s">
        <v>10</v>
      </c>
      <c r="C20" s="36">
        <v>6.98</v>
      </c>
    </row>
    <row r="21" spans="2:3" x14ac:dyDescent="0.25">
      <c r="B21" s="36" t="s">
        <v>11</v>
      </c>
      <c r="C21" s="36">
        <v>5.99</v>
      </c>
    </row>
    <row r="22" spans="2:3" x14ac:dyDescent="0.25">
      <c r="B22" s="36" t="s">
        <v>12</v>
      </c>
      <c r="C22" s="36">
        <v>5.83</v>
      </c>
    </row>
    <row r="23" spans="2:3" x14ac:dyDescent="0.25">
      <c r="B23" s="36" t="s">
        <v>13</v>
      </c>
      <c r="C23" s="36">
        <v>4.97</v>
      </c>
    </row>
    <row r="24" spans="2:3" x14ac:dyDescent="0.25">
      <c r="B24" s="36" t="s">
        <v>14</v>
      </c>
      <c r="C24" s="36">
        <v>4.97</v>
      </c>
    </row>
    <row r="25" spans="2:3" x14ac:dyDescent="0.25">
      <c r="B25" s="36" t="s">
        <v>15</v>
      </c>
      <c r="C25" s="36">
        <v>4.9400000000000004</v>
      </c>
    </row>
    <row r="26" spans="2:3" x14ac:dyDescent="0.25">
      <c r="B26" s="36" t="s">
        <v>16</v>
      </c>
      <c r="C26" s="36">
        <v>4.58</v>
      </c>
    </row>
    <row r="27" spans="2:3" x14ac:dyDescent="0.25">
      <c r="B27" s="36" t="s">
        <v>17</v>
      </c>
      <c r="C27" s="36">
        <v>4.5</v>
      </c>
    </row>
    <row r="28" spans="2:3" x14ac:dyDescent="0.25">
      <c r="B28" s="36" t="s">
        <v>18</v>
      </c>
      <c r="C28" s="36">
        <v>4.4800000000000004</v>
      </c>
    </row>
    <row r="29" spans="2:3" x14ac:dyDescent="0.25">
      <c r="B29" s="36" t="s">
        <v>19</v>
      </c>
      <c r="C29" s="36">
        <v>4.33</v>
      </c>
    </row>
    <row r="30" spans="2:3" x14ac:dyDescent="0.25">
      <c r="B30" s="36" t="s">
        <v>20</v>
      </c>
      <c r="C30" s="36">
        <v>4.03</v>
      </c>
    </row>
    <row r="31" spans="2:3" x14ac:dyDescent="0.25">
      <c r="B31" s="36" t="s">
        <v>21</v>
      </c>
      <c r="C31" s="36">
        <v>3.99</v>
      </c>
    </row>
    <row r="32" spans="2:3" x14ac:dyDescent="0.25">
      <c r="B32" s="36" t="s">
        <v>22</v>
      </c>
      <c r="C32" s="36">
        <v>3.95</v>
      </c>
    </row>
    <row r="33" spans="2:3" x14ac:dyDescent="0.25">
      <c r="B33" s="36" t="s">
        <v>23</v>
      </c>
      <c r="C33" s="36">
        <v>3.17</v>
      </c>
    </row>
    <row r="34" spans="2:3" x14ac:dyDescent="0.25">
      <c r="B34" s="36" t="s">
        <v>24</v>
      </c>
      <c r="C34" s="36">
        <v>3</v>
      </c>
    </row>
    <row r="35" spans="2:3" x14ac:dyDescent="0.25">
      <c r="B35" s="36" t="s">
        <v>25</v>
      </c>
      <c r="C35" s="36">
        <v>2.99</v>
      </c>
    </row>
    <row r="36" spans="2:3" x14ac:dyDescent="0.25">
      <c r="B36" s="36" t="s">
        <v>26</v>
      </c>
      <c r="C36" s="36">
        <v>2.98</v>
      </c>
    </row>
    <row r="37" spans="2:3" x14ac:dyDescent="0.25">
      <c r="B37" s="36" t="s">
        <v>27</v>
      </c>
      <c r="C37" s="36">
        <v>2.98</v>
      </c>
    </row>
    <row r="38" spans="2:3" x14ac:dyDescent="0.25">
      <c r="B38" s="36" t="s">
        <v>28</v>
      </c>
      <c r="C38" s="36">
        <v>2.75</v>
      </c>
    </row>
    <row r="39" spans="2:3" x14ac:dyDescent="0.25">
      <c r="B39" s="36" t="s">
        <v>29</v>
      </c>
      <c r="C39" s="36">
        <v>2.58</v>
      </c>
    </row>
    <row r="40" spans="2:3" x14ac:dyDescent="0.25">
      <c r="B40" s="36" t="s">
        <v>30</v>
      </c>
      <c r="C40" s="36">
        <v>2.0099999999999998</v>
      </c>
    </row>
    <row r="41" spans="2:3" x14ac:dyDescent="0.25">
      <c r="B41" s="36" t="s">
        <v>31</v>
      </c>
      <c r="C41" s="36">
        <v>2</v>
      </c>
    </row>
    <row r="42" spans="2:3" x14ac:dyDescent="0.25">
      <c r="B42" s="36" t="s">
        <v>32</v>
      </c>
      <c r="C42" s="36">
        <v>1.99</v>
      </c>
    </row>
    <row r="43" spans="2:3" x14ac:dyDescent="0.25">
      <c r="B43" s="36" t="s">
        <v>33</v>
      </c>
      <c r="C43" s="36">
        <v>1.99</v>
      </c>
    </row>
    <row r="44" spans="2:3" x14ac:dyDescent="0.25">
      <c r="B44" s="36" t="s">
        <v>34</v>
      </c>
      <c r="C44" s="36">
        <v>1.99</v>
      </c>
    </row>
    <row r="45" spans="2:3" x14ac:dyDescent="0.25">
      <c r="B45" s="36" t="s">
        <v>35</v>
      </c>
      <c r="C45" s="36">
        <v>1.98</v>
      </c>
    </row>
    <row r="46" spans="2:3" x14ac:dyDescent="0.25">
      <c r="B46" s="36" t="s">
        <v>36</v>
      </c>
      <c r="C46" s="36">
        <v>1.75</v>
      </c>
    </row>
    <row r="47" spans="2:3" x14ac:dyDescent="0.25">
      <c r="B47" s="36" t="s">
        <v>37</v>
      </c>
      <c r="C47" s="36">
        <v>1.67</v>
      </c>
    </row>
    <row r="48" spans="2:3" x14ac:dyDescent="0.25">
      <c r="B48" s="36" t="s">
        <v>38</v>
      </c>
      <c r="C48" s="36">
        <v>1.58</v>
      </c>
    </row>
    <row r="49" spans="2:3" x14ac:dyDescent="0.25">
      <c r="B49" s="36" t="s">
        <v>39</v>
      </c>
      <c r="C49" s="36">
        <v>1.5</v>
      </c>
    </row>
    <row r="50" spans="2:3" x14ac:dyDescent="0.25">
      <c r="B50" s="36" t="s">
        <v>40</v>
      </c>
      <c r="C50" s="36">
        <v>1.42</v>
      </c>
    </row>
    <row r="51" spans="2:3" x14ac:dyDescent="0.25">
      <c r="B51" s="36" t="s">
        <v>41</v>
      </c>
      <c r="C51" s="36">
        <v>1.33</v>
      </c>
    </row>
    <row r="52" spans="2:3" x14ac:dyDescent="0.25">
      <c r="B52" s="36" t="s">
        <v>42</v>
      </c>
      <c r="C52" s="36">
        <v>1.25</v>
      </c>
    </row>
    <row r="53" spans="2:3" x14ac:dyDescent="0.25">
      <c r="B53" s="36" t="s">
        <v>43</v>
      </c>
      <c r="C53" s="36">
        <v>1.25</v>
      </c>
    </row>
    <row r="54" spans="2:3" x14ac:dyDescent="0.25">
      <c r="B54" s="36" t="s">
        <v>44</v>
      </c>
      <c r="C54" s="36">
        <v>1.17</v>
      </c>
    </row>
    <row r="55" spans="2:3" x14ac:dyDescent="0.25">
      <c r="B55" s="36" t="s">
        <v>45</v>
      </c>
      <c r="C55" s="36">
        <v>1.17</v>
      </c>
    </row>
    <row r="56" spans="2:3" x14ac:dyDescent="0.25">
      <c r="B56" s="36" t="s">
        <v>46</v>
      </c>
      <c r="C56" s="36">
        <v>1.08</v>
      </c>
    </row>
    <row r="57" spans="2:3" x14ac:dyDescent="0.25">
      <c r="B57" s="36" t="s">
        <v>47</v>
      </c>
      <c r="C57" s="36">
        <v>1</v>
      </c>
    </row>
    <row r="58" spans="2:3" x14ac:dyDescent="0.25">
      <c r="B58" s="36" t="s">
        <v>48</v>
      </c>
      <c r="C58" s="36">
        <v>1</v>
      </c>
    </row>
    <row r="59" spans="2:3" x14ac:dyDescent="0.25">
      <c r="B59" s="36" t="s">
        <v>49</v>
      </c>
      <c r="C59" s="36">
        <v>1</v>
      </c>
    </row>
    <row r="60" spans="2:3" x14ac:dyDescent="0.25">
      <c r="B60" s="36" t="s">
        <v>50</v>
      </c>
      <c r="C60" s="36">
        <v>0.92</v>
      </c>
    </row>
    <row r="61" spans="2:3" x14ac:dyDescent="0.25">
      <c r="B61" s="36" t="s">
        <v>51</v>
      </c>
      <c r="C61" s="36">
        <v>0.92</v>
      </c>
    </row>
    <row r="62" spans="2:3" x14ac:dyDescent="0.25">
      <c r="B62" s="36" t="s">
        <v>52</v>
      </c>
      <c r="C62" s="36">
        <v>0.83</v>
      </c>
    </row>
    <row r="63" spans="2:3" x14ac:dyDescent="0.25">
      <c r="B63" s="36" t="s">
        <v>53</v>
      </c>
      <c r="C63" s="36">
        <v>0.75</v>
      </c>
    </row>
    <row r="64" spans="2:3" x14ac:dyDescent="0.25">
      <c r="B64" s="36" t="s">
        <v>54</v>
      </c>
      <c r="C64" s="36">
        <v>0.75</v>
      </c>
    </row>
    <row r="65" spans="2:3" x14ac:dyDescent="0.25">
      <c r="B65" s="36" t="s">
        <v>55</v>
      </c>
      <c r="C65" s="36">
        <v>0.75</v>
      </c>
    </row>
    <row r="66" spans="2:3" x14ac:dyDescent="0.25">
      <c r="B66" s="36" t="s">
        <v>56</v>
      </c>
      <c r="C66" s="36">
        <v>0.67</v>
      </c>
    </row>
    <row r="67" spans="2:3" x14ac:dyDescent="0.25">
      <c r="B67" s="36" t="s">
        <v>57</v>
      </c>
      <c r="C67" s="36">
        <v>0.67</v>
      </c>
    </row>
    <row r="68" spans="2:3" x14ac:dyDescent="0.25">
      <c r="B68" s="36" t="s">
        <v>58</v>
      </c>
      <c r="C68" s="36">
        <v>0.57999999999999996</v>
      </c>
    </row>
    <row r="69" spans="2:3" x14ac:dyDescent="0.25">
      <c r="B69" s="36" t="s">
        <v>59</v>
      </c>
      <c r="C69" s="36">
        <v>0.57999999999999996</v>
      </c>
    </row>
    <row r="70" spans="2:3" x14ac:dyDescent="0.25">
      <c r="B70" s="36" t="s">
        <v>60</v>
      </c>
      <c r="C70" s="36">
        <v>0.57999999999999996</v>
      </c>
    </row>
    <row r="71" spans="2:3" x14ac:dyDescent="0.25">
      <c r="B71" s="36" t="s">
        <v>61</v>
      </c>
      <c r="C71" s="36">
        <v>0.5</v>
      </c>
    </row>
    <row r="72" spans="2:3" x14ac:dyDescent="0.25">
      <c r="B72" s="36" t="s">
        <v>62</v>
      </c>
      <c r="C72" s="36">
        <v>0.5</v>
      </c>
    </row>
    <row r="73" spans="2:3" x14ac:dyDescent="0.25">
      <c r="B73" s="36" t="s">
        <v>63</v>
      </c>
      <c r="C73" s="36">
        <v>0.5</v>
      </c>
    </row>
    <row r="74" spans="2:3" x14ac:dyDescent="0.25">
      <c r="B74" s="36" t="s">
        <v>64</v>
      </c>
      <c r="C74" s="36">
        <v>0.5</v>
      </c>
    </row>
    <row r="75" spans="2:3" x14ac:dyDescent="0.25">
      <c r="B75" s="36" t="s">
        <v>65</v>
      </c>
      <c r="C75" s="36">
        <v>0.5</v>
      </c>
    </row>
    <row r="76" spans="2:3" x14ac:dyDescent="0.25">
      <c r="B76" s="36" t="s">
        <v>66</v>
      </c>
      <c r="C76" s="36">
        <v>0.5</v>
      </c>
    </row>
    <row r="77" spans="2:3" x14ac:dyDescent="0.25">
      <c r="B77" s="36" t="s">
        <v>67</v>
      </c>
      <c r="C77" s="36">
        <v>0.42</v>
      </c>
    </row>
    <row r="78" spans="2:3" x14ac:dyDescent="0.25">
      <c r="B78" s="36" t="s">
        <v>68</v>
      </c>
      <c r="C78" s="36">
        <v>0.33</v>
      </c>
    </row>
    <row r="79" spans="2:3" x14ac:dyDescent="0.25">
      <c r="B79" s="36" t="s">
        <v>69</v>
      </c>
      <c r="C79" s="36">
        <v>0.33</v>
      </c>
    </row>
    <row r="80" spans="2:3" x14ac:dyDescent="0.25">
      <c r="B80" s="36" t="s">
        <v>70</v>
      </c>
      <c r="C80" s="36">
        <v>0.25</v>
      </c>
    </row>
    <row r="81" spans="2:3" x14ac:dyDescent="0.25">
      <c r="B81" s="36" t="s">
        <v>71</v>
      </c>
      <c r="C81" s="36">
        <v>0.25</v>
      </c>
    </row>
    <row r="82" spans="2:3" x14ac:dyDescent="0.25">
      <c r="B82" s="36" t="s">
        <v>72</v>
      </c>
      <c r="C82" s="36">
        <v>0.25</v>
      </c>
    </row>
    <row r="83" spans="2:3" x14ac:dyDescent="0.25">
      <c r="B83" s="36" t="s">
        <v>73</v>
      </c>
      <c r="C83" s="36">
        <v>0.25</v>
      </c>
    </row>
    <row r="84" spans="2:3" x14ac:dyDescent="0.25">
      <c r="B84" s="36" t="s">
        <v>74</v>
      </c>
      <c r="C84" s="36">
        <v>0.17</v>
      </c>
    </row>
    <row r="85" spans="2:3" x14ac:dyDescent="0.25">
      <c r="B85" s="36" t="s">
        <v>75</v>
      </c>
      <c r="C85" s="36">
        <v>0.17</v>
      </c>
    </row>
    <row r="86" spans="2:3" x14ac:dyDescent="0.25">
      <c r="B86" s="36" t="s">
        <v>76</v>
      </c>
      <c r="C86" s="36">
        <v>0.08</v>
      </c>
    </row>
    <row r="87" spans="2:3" x14ac:dyDescent="0.25">
      <c r="B87" s="36" t="s">
        <v>77</v>
      </c>
      <c r="C87" s="36">
        <v>0</v>
      </c>
    </row>
    <row r="88" spans="2:3" x14ac:dyDescent="0.25">
      <c r="B88" s="36" t="s">
        <v>78</v>
      </c>
      <c r="C88" s="36">
        <v>0</v>
      </c>
    </row>
    <row r="89" spans="2:3" x14ac:dyDescent="0.25">
      <c r="B89" s="36" t="s">
        <v>79</v>
      </c>
      <c r="C89" s="36">
        <v>0</v>
      </c>
    </row>
    <row r="90" spans="2:3" x14ac:dyDescent="0.25">
      <c r="B90" s="36" t="s">
        <v>80</v>
      </c>
      <c r="C90" s="36">
        <v>0</v>
      </c>
    </row>
    <row r="91" spans="2:3" x14ac:dyDescent="0.25">
      <c r="B91" s="36" t="s">
        <v>81</v>
      </c>
      <c r="C91" s="36">
        <v>0</v>
      </c>
    </row>
    <row r="92" spans="2:3" x14ac:dyDescent="0.25">
      <c r="B92" s="36" t="s">
        <v>82</v>
      </c>
      <c r="C92" s="36">
        <v>0</v>
      </c>
    </row>
    <row r="93" spans="2:3" x14ac:dyDescent="0.25">
      <c r="B93" s="36" t="s">
        <v>83</v>
      </c>
      <c r="C93" s="36">
        <v>0</v>
      </c>
    </row>
    <row r="94" spans="2:3" x14ac:dyDescent="0.25">
      <c r="B94" s="36" t="s">
        <v>84</v>
      </c>
      <c r="C94" s="36">
        <v>0</v>
      </c>
    </row>
    <row r="95" spans="2:3" x14ac:dyDescent="0.25">
      <c r="B95" s="36" t="s">
        <v>85</v>
      </c>
      <c r="C95" s="36">
        <v>0</v>
      </c>
    </row>
    <row r="96" spans="2:3" x14ac:dyDescent="0.25">
      <c r="B96" s="36" t="s">
        <v>86</v>
      </c>
      <c r="C96" s="36">
        <v>0</v>
      </c>
    </row>
    <row r="97" spans="2:3" x14ac:dyDescent="0.25">
      <c r="B97" s="36" t="s">
        <v>87</v>
      </c>
      <c r="C97" s="36">
        <v>0</v>
      </c>
    </row>
    <row r="98" spans="2:3" x14ac:dyDescent="0.25">
      <c r="B98" s="36" t="s">
        <v>88</v>
      </c>
      <c r="C98" s="36">
        <v>0</v>
      </c>
    </row>
    <row r="99" spans="2:3" x14ac:dyDescent="0.25">
      <c r="B99" s="36" t="s">
        <v>89</v>
      </c>
      <c r="C99" s="36">
        <v>0</v>
      </c>
    </row>
    <row r="100" spans="2:3" x14ac:dyDescent="0.25">
      <c r="B100" s="36" t="s">
        <v>90</v>
      </c>
      <c r="C100" s="36">
        <v>0</v>
      </c>
    </row>
  </sheetData>
  <mergeCells count="2">
    <mergeCell ref="B10:C10"/>
    <mergeCell ref="G3:H3"/>
  </mergeCells>
  <phoneticPr fontId="2" type="noConversion"/>
  <conditionalFormatting sqref="H4:H13">
    <cfRule type="cellIs" dxfId="2" priority="1" operator="equal">
      <formula>$AC$70</formula>
    </cfRule>
    <cfRule type="expression" dxfId="1" priority="2">
      <formula>AND(H$35=$Z$59,H4=$Z$63)</formula>
    </cfRule>
    <cfRule type="expression" dxfId="0" priority="3">
      <formula>AND(H$35=$Z$58,H4=$Z$64)</formula>
    </cfRule>
  </conditionalFormatting>
  <dataValidations count="2">
    <dataValidation type="whole" allowBlank="1" showInputMessage="1" showErrorMessage="1" sqref="C3" xr:uid="{4D808059-B5AD-4AC3-AA11-EDA8293B0292}">
      <formula1>1</formula1>
      <formula2>16</formula2>
    </dataValidation>
    <dataValidation type="whole" allowBlank="1" showInputMessage="1" showErrorMessage="1" sqref="C4" xr:uid="{C766875D-78A4-44B9-8291-31154A46C885}">
      <formula1>1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ransfer">
                <anchor moveWithCells="1" sizeWithCells="1">
                  <from>
                    <xdr:col>3</xdr:col>
                    <xdr:colOff>762000</xdr:colOff>
                    <xdr:row>5</xdr:row>
                    <xdr:rowOff>9525</xdr:rowOff>
                  </from>
                  <to>
                    <xdr:col>3</xdr:col>
                    <xdr:colOff>1457325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Logic</vt:lpstr>
      <vt:lpstr>Interface</vt:lpstr>
    </vt:vector>
  </TitlesOfParts>
  <Company>Independent Cement &amp; Lime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Griffin Weir</dc:creator>
  <cp:lastModifiedBy>Griffin Weir</cp:lastModifiedBy>
  <dcterms:created xsi:type="dcterms:W3CDTF">2024-07-02T06:26:30Z</dcterms:created>
  <dcterms:modified xsi:type="dcterms:W3CDTF">2024-07-08T03:29:21Z</dcterms:modified>
</cp:coreProperties>
</file>